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diq\Downloads\"/>
    </mc:Choice>
  </mc:AlternateContent>
  <xr:revisionPtr revIDLastSave="0" documentId="13_ncr:1_{23648848-AA4D-4DB3-A558-4CD2C5282CF3}" xr6:coauthVersionLast="47" xr6:coauthVersionMax="47" xr10:uidLastSave="{00000000-0000-0000-0000-000000000000}"/>
  <bookViews>
    <workbookView xWindow="-12" yWindow="-12" windowWidth="23064" windowHeight="12264" activeTab="2" xr2:uid="{00000000-000D-0000-FFFF-FFFF00000000}"/>
  </bookViews>
  <sheets>
    <sheet name="pivots" sheetId="7" r:id="rId1"/>
    <sheet name="Sheet1" sheetId="6" r:id="rId2"/>
    <sheet name="dashboard" sheetId="9" r:id="rId3"/>
  </sheets>
  <definedNames>
    <definedName name="_xlcn.WorksheetConnection_FinancialSample.xlsxfinancials1" hidden="1">financials[]</definedName>
    <definedName name="Slicer_Country">#N/A</definedName>
  </definedNames>
  <calcPr calcId="191029"/>
  <pivotCaches>
    <pivotCache cacheId="688" r:id="rId4"/>
    <pivotCache cacheId="691" r:id="rId5"/>
    <pivotCache cacheId="694" r:id="rId6"/>
    <pivotCache cacheId="697" r:id="rId7"/>
    <pivotCache cacheId="700" r:id="rId8"/>
    <pivotCache cacheId="703" r:id="rId9"/>
    <pivotCache cacheId="706" r:id="rId10"/>
    <pivotCache cacheId="709" r:id="rId11"/>
  </pivotCaches>
  <extLst>
    <ext xmlns:x14="http://schemas.microsoft.com/office/spreadsheetml/2009/9/main" uri="{876F7934-8845-4945-9796-88D515C7AA90}">
      <x14:pivotCaches>
        <pivotCache cacheId="152"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s" name="financials" connection="WorksheetConnection_Financial Sample.xlsx!financials"/>
        </x15:modelTables>
        <x15:extLst>
          <ext xmlns:x16="http://schemas.microsoft.com/office/spreadsheetml/2014/11/main" uri="{9835A34E-60A6-4A7C-AAB8-D5F71C897F49}">
            <x16:modelTimeGroupings>
              <x16:modelTimeGrouping tableName="financial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6" l="1"/>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FDD699-E369-4FF4-8F1C-75A953CE17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22540F-8B9B-4B2F-937D-91C6092D86BA}" name="WorksheetConnection_Financial Sample.xlsx!financials" type="102" refreshedVersion="8" minRefreshableVersion="5">
    <extLst>
      <ext xmlns:x15="http://schemas.microsoft.com/office/spreadsheetml/2010/11/main" uri="{DE250136-89BD-433C-8126-D09CA5730AF9}">
        <x15:connection id="financials" autoDelete="1">
          <x15:rangePr sourceName="_xlcn.WorksheetConnection_FinancialSample.xlsxfinancials1"/>
        </x15:connection>
      </ext>
    </extLst>
  </connection>
</connections>
</file>

<file path=xl/sharedStrings.xml><?xml version="1.0" encoding="utf-8"?>
<sst xmlns="http://schemas.openxmlformats.org/spreadsheetml/2006/main" count="4268" uniqueCount="75">
  <si>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</si>
  <si>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</si>
  <si>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</si>
  <si>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</si>
  <si>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</si>
  <si>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</si>
  <si>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</si>
  <si>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</si>
  <si>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</si>
  <si>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</si>
  <si>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</si>
  <si>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</si>
  <si>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</si>
  <si>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</si>
  <si>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</si>
  <si>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</si>
  <si>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</si>
  <si>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</si>
  <si>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</si>
  <si>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</si>
  <si>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</si>
  <si>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</si>
  <si>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</si>
  <si>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</si>
  <si>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</si>
  <si>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</si>
  <si>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</si>
  <si>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</si>
  <si>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</si>
  <si>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</si>
  <si>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</si>
  <si>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</si>
  <si>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</si>
  <si>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</si>
  <si>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</si>
  <si>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</si>
  <si>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</si>
  <si>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</si>
  <si>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</si>
  <si>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</si>
  <si>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</si>
  <si>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</si>
  <si>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</si>
  <si>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</si>
  <si>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</si>
  <si>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</si>
  <si>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</si>
  <si>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</si>
  <si>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</si>
  <si>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</si>
  <si>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Revenue</t>
  </si>
  <si>
    <t>Row Labels</t>
  </si>
  <si>
    <t>Sum of Profit</t>
  </si>
  <si>
    <t>Grand Total</t>
  </si>
  <si>
    <t>Sum of Revenue</t>
  </si>
  <si>
    <t>KPIs</t>
  </si>
  <si>
    <t>Sum of Sales</t>
  </si>
  <si>
    <t>Sum of Units Sold</t>
  </si>
  <si>
    <t>total Units Sold</t>
  </si>
  <si>
    <t>Sep</t>
  </si>
  <si>
    <t>Oct</t>
  </si>
  <si>
    <t>Nov</t>
  </si>
  <si>
    <t>Dec</t>
  </si>
  <si>
    <t>Jan</t>
  </si>
  <si>
    <t>Feb</t>
  </si>
  <si>
    <t>Mar</t>
  </si>
  <si>
    <t>Apr</t>
  </si>
  <si>
    <t>Jun</t>
  </si>
  <si>
    <t>Jul</t>
  </si>
  <si>
    <t>Aug</t>
  </si>
  <si>
    <t>total Profit</t>
  </si>
  <si>
    <t>segment</t>
  </si>
  <si>
    <t>discount Band</t>
  </si>
  <si>
    <t>Total unit sold</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</si>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</sst>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7" formatCode="_-[$$-409]* #,##0.00_ ;_-[$$-409]* \-#,##0.00\ ;_-[$$-409]* &quot;-&quot;??_ ;_-@_ "/>
    <numFmt numFmtId="169" formatCode="_(&quot;$&quot;* #,##0_);_(&quot;$&quot;* \(#,##0\);_(&quot;$&quot;* &quot;-&quot;??_);_(@_)"/>
  </numFmts>
  <fonts count="6" x14ac:knownFonts="1">
    <font>
      <sz val="11"/>
      <color theme="1"/>
      <name val="Calibri"/>
      <family val="2"/>
      <scheme val="minor"/>
    </font>
    <font>
      <sz val="11"/>
      <color theme="1"/>
      <name val="Calibri"/>
      <family val="2"/>
      <scheme val="minor"/>
    </font>
    <font>
      <sz val="11"/>
      <color theme="1"/>
      <name val="Calibri"/>
      <scheme val="minor"/>
    </font>
    <font>
      <b/>
      <sz val="12"/>
      <color theme="1"/>
      <name val="Calibri"/>
      <family val="2"/>
      <scheme val="minor"/>
    </font>
    <font>
      <b/>
      <sz val="18"/>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4" fontId="0" fillId="0" borderId="0" xfId="1" applyNumberFormat="1" applyFont="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7" fontId="0" fillId="0" borderId="0" xfId="0" applyNumberFormat="1"/>
    <xf numFmtId="164" fontId="0" fillId="0" borderId="0" xfId="0" pivotButton="1" applyNumberFormat="1"/>
    <xf numFmtId="164" fontId="0" fillId="0" borderId="0" xfId="0" applyNumberFormat="1" applyAlignment="1">
      <alignment horizontal="left"/>
    </xf>
    <xf numFmtId="0" fontId="4" fillId="0" borderId="0" xfId="0" applyFont="1"/>
    <xf numFmtId="0" fontId="5" fillId="0" borderId="0" xfId="0" applyFont="1"/>
    <xf numFmtId="169" fontId="0" fillId="0" borderId="0" xfId="0" applyNumberFormat="1"/>
  </cellXfs>
  <cellStyles count="2">
    <cellStyle name="Currency" xfId="1" builtinId="4"/>
    <cellStyle name="Normal" xfId="0" builtinId="0"/>
  </cellStyles>
  <dxfs count="45">
    <dxf>
      <numFmt numFmtId="168" formatCode="_(&quot;$&quot;* #,##0.0_);_(&quot;$&quot;* \(#,##0.0\);_(&quot;$&quot;* &quot;-&quot;??_);_(@_)"/>
    </dxf>
    <dxf>
      <numFmt numFmtId="169" formatCode="_(&quot;$&quot;* #,##0_);_(&quot;$&quot;* \(#,##0\);_(&quot;$&quot;* &quot;-&quot;??_);_(@_)"/>
    </dxf>
    <dxf>
      <numFmt numFmtId="164" formatCode="_(&quot;$&quot;* #,##0.00_);_(&quot;$&quot;* \(#,##0.00\);_(&quot;$&quot;* &quot;-&quot;??_);_(@_)"/>
    </dxf>
    <dxf>
      <numFmt numFmtId="164" formatCode="_(&quot;$&quot;* #,##0.00_);_(&quot;$&quot;* \(#,##0.00\);_(&quot;$&quot;* &quot;-&quot;??_);_(@_)"/>
    </dxf>
    <dxf>
      <numFmt numFmtId="168" formatCode="_(&quot;$&quot;* #,##0.0_);_(&quot;$&quot;* \(#,##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7" formatCode="_-[$$-409]* #,##0.00_ ;_-[$$-409]* \-#,##0.00\ ;_-[$$-409]* &quot;-&quot;??_ ;_-@_ "/>
    </dxf>
    <dxf>
      <numFmt numFmtId="167" formatCode="_-[$$-409]* #,##0.00_ ;_-[$$-409]* \-#,##0.00\ ;_-[$$-409]* &quot;-&quot;??_ ;_-@_ "/>
    </dxf>
    <dxf>
      <numFmt numFmtId="167" formatCode="_-[$$-409]* #,##0.00_ ;_-[$$-409]* \-#,##0.00\ ;_-[$$-409]* &quot;-&quot;??_ ;_-@_ "/>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2" formatCode="0.00"/>
    </dxf>
    <dxf>
      <numFmt numFmtId="2" formatCode="0.00"/>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7230A"/>
      <color rgb="FF146246"/>
      <color rgb="FF156548"/>
      <color rgb="FF3C5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pivots!$E$25</c:f>
              <c:strCache>
                <c:ptCount val="1"/>
                <c:pt idx="0">
                  <c:v>Total</c:v>
                </c:pt>
              </c:strCache>
            </c:strRef>
          </c:tx>
          <c:spPr>
            <a:solidFill>
              <a:schemeClr val="accent1"/>
            </a:solidFill>
            <a:ln>
              <a:noFill/>
            </a:ln>
            <a:effectLst/>
          </c:spPr>
          <c:invertIfNegative val="0"/>
          <c:cat>
            <c:strRef>
              <c:f>pivots!$D$26:$D$31</c:f>
              <c:strCache>
                <c:ptCount val="5"/>
                <c:pt idx="0">
                  <c:v>Channel Partners</c:v>
                </c:pt>
                <c:pt idx="1">
                  <c:v>Enterprise</c:v>
                </c:pt>
                <c:pt idx="2">
                  <c:v>Government</c:v>
                </c:pt>
                <c:pt idx="3">
                  <c:v>Midmarket</c:v>
                </c:pt>
                <c:pt idx="4">
                  <c:v>Small Business</c:v>
                </c:pt>
              </c:strCache>
            </c:strRef>
          </c:cat>
          <c:val>
            <c:numRef>
              <c:f>pivots!$E$26:$E$31</c:f>
              <c:numCache>
                <c:formatCode>_("$"* #,##0.00_);_("$"* \(#,##0.00\);_("$"* "-"??_);_(@_)</c:formatCode>
                <c:ptCount val="5"/>
                <c:pt idx="0">
                  <c:v>2374527005.1999984</c:v>
                </c:pt>
                <c:pt idx="1">
                  <c:v>2374527005.1999984</c:v>
                </c:pt>
                <c:pt idx="2">
                  <c:v>7123581015.5999947</c:v>
                </c:pt>
                <c:pt idx="3">
                  <c:v>2374527005.1999984</c:v>
                </c:pt>
                <c:pt idx="4">
                  <c:v>2374527005.1999984</c:v>
                </c:pt>
              </c:numCache>
            </c:numRef>
          </c:val>
          <c:extLst>
            <c:ext xmlns:c16="http://schemas.microsoft.com/office/drawing/2014/chart" uri="{C3380CC4-5D6E-409C-BE32-E72D297353CC}">
              <c16:uniqueId val="{00000002-F133-4A43-96FF-8BA4E7294DD7}"/>
            </c:ext>
          </c:extLst>
        </c:ser>
        <c:dLbls>
          <c:showLegendKey val="0"/>
          <c:showVal val="0"/>
          <c:showCatName val="0"/>
          <c:showSerName val="0"/>
          <c:showPercent val="0"/>
          <c:showBubbleSize val="0"/>
        </c:dLbls>
        <c:gapWidth val="150"/>
        <c:overlap val="100"/>
        <c:axId val="225426783"/>
        <c:axId val="156528975"/>
      </c:barChart>
      <c:catAx>
        <c:axId val="22542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8975"/>
        <c:crosses val="autoZero"/>
        <c:auto val="1"/>
        <c:lblAlgn val="ctr"/>
        <c:lblOffset val="100"/>
        <c:noMultiLvlLbl val="0"/>
      </c:catAx>
      <c:valAx>
        <c:axId val="1565289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2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Sample.xlsx]pivots!PivotTable6</c:name>
    <c:fmtId val="5"/>
  </c:pivotSource>
  <c:chart>
    <c:title>
      <c:layout>
        <c:manualLayout>
          <c:xMode val="edge"/>
          <c:yMode val="edge"/>
          <c:x val="0.4615600448933782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Total</c:v>
                </c:pt>
              </c:strCache>
            </c:strRef>
          </c:tx>
          <c:spPr>
            <a:ln w="28575" cap="rnd">
              <a:solidFill>
                <a:schemeClr val="accent1"/>
              </a:solidFill>
              <a:round/>
            </a:ln>
            <a:effectLst/>
          </c:spPr>
          <c:marker>
            <c:symbol val="none"/>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_-[$$-409]* #,##0.00_ ;_-[$$-409]* \-#,##0.00\ ;_-[$$-409]* "-"??_ ;_-@_ </c:formatCode>
                <c:ptCount val="12"/>
                <c:pt idx="0">
                  <c:v>1346026.4850000001</c:v>
                </c:pt>
                <c:pt idx="1">
                  <c:v>1332890.6599999999</c:v>
                </c:pt>
                <c:pt idx="2">
                  <c:v>1789974.4699999997</c:v>
                </c:pt>
                <c:pt idx="3">
                  <c:v>1616624.4749999999</c:v>
                </c:pt>
                <c:pt idx="4">
                  <c:v>1949249.35</c:v>
                </c:pt>
                <c:pt idx="5">
                  <c:v>1323610.8000000005</c:v>
                </c:pt>
                <c:pt idx="6">
                  <c:v>2308798.125</c:v>
                </c:pt>
                <c:pt idx="7">
                  <c:v>2007266.12</c:v>
                </c:pt>
                <c:pt idx="8">
                  <c:v>2410276.3499999996</c:v>
                </c:pt>
                <c:pt idx="9">
                  <c:v>3457103</c:v>
                </c:pt>
                <c:pt idx="10">
                  <c:v>3093502.65</c:v>
                </c:pt>
                <c:pt idx="11">
                  <c:v>2394507.6799999997</c:v>
                </c:pt>
              </c:numCache>
            </c:numRef>
          </c:val>
          <c:smooth val="0"/>
          <c:extLst>
            <c:ext xmlns:c16="http://schemas.microsoft.com/office/drawing/2014/chart" uri="{C3380CC4-5D6E-409C-BE32-E72D297353CC}">
              <c16:uniqueId val="{00000000-796A-4CAE-874B-D93342396289}"/>
            </c:ext>
          </c:extLst>
        </c:ser>
        <c:dLbls>
          <c:showLegendKey val="0"/>
          <c:showVal val="0"/>
          <c:showCatName val="0"/>
          <c:showSerName val="0"/>
          <c:showPercent val="0"/>
          <c:showBubbleSize val="0"/>
        </c:dLbls>
        <c:smooth val="0"/>
        <c:axId val="225430031"/>
        <c:axId val="156538575"/>
      </c:lineChart>
      <c:catAx>
        <c:axId val="2254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8575"/>
        <c:crosses val="autoZero"/>
        <c:auto val="1"/>
        <c:lblAlgn val="ctr"/>
        <c:lblOffset val="100"/>
        <c:noMultiLvlLbl val="0"/>
      </c:catAx>
      <c:valAx>
        <c:axId val="15653857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pivots!$E$13</c:f>
              <c:strCache>
                <c:ptCount val="1"/>
                <c:pt idx="0">
                  <c:v>Total</c:v>
                </c:pt>
              </c:strCache>
            </c:strRef>
          </c:tx>
          <c:spPr>
            <a:solidFill>
              <a:schemeClr val="accent1"/>
            </a:solidFill>
            <a:ln>
              <a:noFill/>
            </a:ln>
            <a:effectLst/>
          </c:spPr>
          <c:invertIfNegative val="0"/>
          <c:cat>
            <c:strRef>
              <c:f>pivots!$D$14:$D$20</c:f>
              <c:strCache>
                <c:ptCount val="6"/>
                <c:pt idx="0">
                  <c:v>Amarilla</c:v>
                </c:pt>
                <c:pt idx="1">
                  <c:v>Carretera</c:v>
                </c:pt>
                <c:pt idx="2">
                  <c:v>Montana</c:v>
                </c:pt>
                <c:pt idx="3">
                  <c:v>Paseo</c:v>
                </c:pt>
                <c:pt idx="4">
                  <c:v>Velo</c:v>
                </c:pt>
                <c:pt idx="5">
                  <c:v>VTT</c:v>
                </c:pt>
              </c:strCache>
            </c:strRef>
          </c:cat>
          <c:val>
            <c:numRef>
              <c:f>pivots!$E$14:$E$20</c:f>
              <c:numCache>
                <c:formatCode>_("$"* #,##0.00_);_("$"* \(#,##0.00\);_("$"* "-"??_);_(@_)</c:formatCode>
                <c:ptCount val="6"/>
                <c:pt idx="0">
                  <c:v>388626.40499999997</c:v>
                </c:pt>
                <c:pt idx="1">
                  <c:v>238491.55</c:v>
                </c:pt>
                <c:pt idx="2">
                  <c:v>434521.80000000005</c:v>
                </c:pt>
                <c:pt idx="3">
                  <c:v>1020603.2700000001</c:v>
                </c:pt>
                <c:pt idx="4">
                  <c:v>265401</c:v>
                </c:pt>
                <c:pt idx="5">
                  <c:v>647896.6399999999</c:v>
                </c:pt>
              </c:numCache>
            </c:numRef>
          </c:val>
          <c:extLst>
            <c:ext xmlns:c16="http://schemas.microsoft.com/office/drawing/2014/chart" uri="{C3380CC4-5D6E-409C-BE32-E72D297353CC}">
              <c16:uniqueId val="{00000000-257D-4A81-84B4-CA3AA489CD3E}"/>
            </c:ext>
          </c:extLst>
        </c:ser>
        <c:dLbls>
          <c:showLegendKey val="0"/>
          <c:showVal val="0"/>
          <c:showCatName val="0"/>
          <c:showSerName val="0"/>
          <c:showPercent val="0"/>
          <c:showBubbleSize val="0"/>
        </c:dLbls>
        <c:gapWidth val="219"/>
        <c:overlap val="-27"/>
        <c:axId val="158315055"/>
        <c:axId val="156550575"/>
      </c:barChart>
      <c:catAx>
        <c:axId val="15831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0575"/>
        <c:crosses val="autoZero"/>
        <c:auto val="1"/>
        <c:lblAlgn val="ctr"/>
        <c:lblOffset val="100"/>
        <c:noMultiLvlLbl val="0"/>
      </c:catAx>
      <c:valAx>
        <c:axId val="1565505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Sample.xlsx]pivots!PivotTable9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pivots!$E$25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77-413D-9965-12B187EA55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77-413D-9965-12B187EA55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77-413D-9965-12B187EA55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77-413D-9965-12B187EA55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77-413D-9965-12B187EA551C}"/>
              </c:ext>
            </c:extLst>
          </c:dPt>
          <c:cat>
            <c:strRef>
              <c:f>pivots!$D$26:$D$31</c:f>
              <c:strCache>
                <c:ptCount val="5"/>
                <c:pt idx="0">
                  <c:v>Channel Partners</c:v>
                </c:pt>
                <c:pt idx="1">
                  <c:v>Enterprise</c:v>
                </c:pt>
                <c:pt idx="2">
                  <c:v>Government</c:v>
                </c:pt>
                <c:pt idx="3">
                  <c:v>Midmarket</c:v>
                </c:pt>
                <c:pt idx="4">
                  <c:v>Small Business</c:v>
                </c:pt>
              </c:strCache>
            </c:strRef>
          </c:cat>
          <c:val>
            <c:numRef>
              <c:f>pivots!$E$26:$E$31</c:f>
              <c:numCache>
                <c:formatCode>_("$"* #,##0.00_);_("$"* \(#,##0.00\);_("$"* "-"??_);_(@_)</c:formatCode>
                <c:ptCount val="5"/>
                <c:pt idx="0">
                  <c:v>2374527005.1999984</c:v>
                </c:pt>
                <c:pt idx="1">
                  <c:v>2374527005.1999984</c:v>
                </c:pt>
                <c:pt idx="2">
                  <c:v>7123581015.5999947</c:v>
                </c:pt>
                <c:pt idx="3">
                  <c:v>2374527005.1999984</c:v>
                </c:pt>
                <c:pt idx="4">
                  <c:v>2374527005.1999984</c:v>
                </c:pt>
              </c:numCache>
            </c:numRef>
          </c:val>
          <c:extLst>
            <c:ext xmlns:c16="http://schemas.microsoft.com/office/drawing/2014/chart" uri="{C3380CC4-5D6E-409C-BE32-E72D297353CC}">
              <c16:uniqueId val="{0000000A-C677-413D-9965-12B187EA55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Sample.xlsx]pivots!PivotTable10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c:f>
              <c:strCache>
                <c:ptCount val="1"/>
                <c:pt idx="0">
                  <c:v>Total</c:v>
                </c:pt>
              </c:strCache>
            </c:strRef>
          </c:tx>
          <c:spPr>
            <a:solidFill>
              <a:schemeClr val="accent1"/>
            </a:solidFill>
            <a:ln>
              <a:noFill/>
            </a:ln>
            <a:effectLst/>
          </c:spPr>
          <c:invertIfNegative val="0"/>
          <c:cat>
            <c:strRef>
              <c:f>pivots!$A$31:$A$35</c:f>
              <c:strCache>
                <c:ptCount val="4"/>
                <c:pt idx="0">
                  <c:v>High</c:v>
                </c:pt>
                <c:pt idx="1">
                  <c:v>Low</c:v>
                </c:pt>
                <c:pt idx="2">
                  <c:v>Medium</c:v>
                </c:pt>
                <c:pt idx="3">
                  <c:v>None</c:v>
                </c:pt>
              </c:strCache>
            </c:strRef>
          </c:cat>
          <c:val>
            <c:numRef>
              <c:f>pivots!$B$31:$B$35</c:f>
              <c:numCache>
                <c:formatCode>0.00</c:formatCode>
                <c:ptCount val="4"/>
                <c:pt idx="0">
                  <c:v>92197</c:v>
                </c:pt>
                <c:pt idx="1">
                  <c:v>52077</c:v>
                </c:pt>
                <c:pt idx="2">
                  <c:v>77010.5</c:v>
                </c:pt>
                <c:pt idx="3">
                  <c:v>11343</c:v>
                </c:pt>
              </c:numCache>
            </c:numRef>
          </c:val>
          <c:extLst>
            <c:ext xmlns:c16="http://schemas.microsoft.com/office/drawing/2014/chart" uri="{C3380CC4-5D6E-409C-BE32-E72D297353CC}">
              <c16:uniqueId val="{00000000-636D-4554-BB56-0A955B5CD83A}"/>
            </c:ext>
          </c:extLst>
        </c:ser>
        <c:dLbls>
          <c:showLegendKey val="0"/>
          <c:showVal val="0"/>
          <c:showCatName val="0"/>
          <c:showSerName val="0"/>
          <c:showPercent val="0"/>
          <c:showBubbleSize val="0"/>
        </c:dLbls>
        <c:gapWidth val="219"/>
        <c:overlap val="-27"/>
        <c:axId val="1624222767"/>
        <c:axId val="156552015"/>
      </c:barChart>
      <c:catAx>
        <c:axId val="16242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2015"/>
        <c:crosses val="autoZero"/>
        <c:auto val="1"/>
        <c:lblAlgn val="ctr"/>
        <c:lblOffset val="100"/>
        <c:noMultiLvlLbl val="0"/>
      </c:catAx>
      <c:valAx>
        <c:axId val="156552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495300</xdr:colOff>
      <xdr:row>9</xdr:row>
      <xdr:rowOff>160020</xdr:rowOff>
    </xdr:from>
    <xdr:to>
      <xdr:col>3</xdr:col>
      <xdr:colOff>640080</xdr:colOff>
      <xdr:row>10</xdr:row>
      <xdr:rowOff>41910</xdr:rowOff>
    </xdr:to>
    <xdr:graphicFrame macro="">
      <xdr:nvGraphicFramePr>
        <xdr:cNvPr id="5" name="Chart 4">
          <a:extLst>
            <a:ext uri="{FF2B5EF4-FFF2-40B4-BE49-F238E27FC236}">
              <a16:creationId xmlns:a16="http://schemas.microsoft.com/office/drawing/2014/main" id="{6119FF71-173B-62F7-325A-CD387AF3B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67010</xdr:colOff>
      <xdr:row>31</xdr:row>
      <xdr:rowOff>152153</xdr:rowOff>
    </xdr:from>
    <xdr:to>
      <xdr:col>14</xdr:col>
      <xdr:colOff>28910</xdr:colOff>
      <xdr:row>41</xdr:row>
      <xdr:rowOff>53755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047396A6-6336-4FF0-BC38-C4E32BDFAEC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822652" y="5975198"/>
              <a:ext cx="1804348" cy="1721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102358</xdr:colOff>
      <xdr:row>14</xdr:row>
      <xdr:rowOff>4435</xdr:rowOff>
    </xdr:from>
    <xdr:to>
      <xdr:col>10</xdr:col>
      <xdr:colOff>45492</xdr:colOff>
      <xdr:row>29</xdr:row>
      <xdr:rowOff>170597</xdr:rowOff>
    </xdr:to>
    <xdr:graphicFrame macro="">
      <xdr:nvGraphicFramePr>
        <xdr:cNvPr id="3" name="Chart 2">
          <a:extLst>
            <a:ext uri="{FF2B5EF4-FFF2-40B4-BE49-F238E27FC236}">
              <a16:creationId xmlns:a16="http://schemas.microsoft.com/office/drawing/2014/main" id="{19C9CF9B-5EA5-41A5-A2F0-CF52F7BBC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183447</xdr:colOff>
      <xdr:row>15</xdr:row>
      <xdr:rowOff>27183</xdr:rowOff>
    </xdr:from>
    <xdr:to>
      <xdr:col>16</xdr:col>
      <xdr:colOff>321752</xdr:colOff>
      <xdr:row>28</xdr:row>
      <xdr:rowOff>37571</xdr:rowOff>
    </xdr:to>
    <xdr:graphicFrame macro="">
      <xdr:nvGraphicFramePr>
        <xdr:cNvPr id="4" name="Chart 3">
          <a:extLst>
            <a:ext uri="{FF2B5EF4-FFF2-40B4-BE49-F238E27FC236}">
              <a16:creationId xmlns:a16="http://schemas.microsoft.com/office/drawing/2014/main" id="{C2F7DF2A-1FC0-4B31-BE23-007E7EE33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109155</xdr:colOff>
      <xdr:row>30</xdr:row>
      <xdr:rowOff>108072</xdr:rowOff>
    </xdr:from>
    <xdr:to>
      <xdr:col>23</xdr:col>
      <xdr:colOff>245842</xdr:colOff>
      <xdr:row>43</xdr:row>
      <xdr:rowOff>162353</xdr:rowOff>
    </xdr:to>
    <xdr:graphicFrame macro="">
      <xdr:nvGraphicFramePr>
        <xdr:cNvPr id="5" name="Chart 4">
          <a:extLst>
            <a:ext uri="{FF2B5EF4-FFF2-40B4-BE49-F238E27FC236}">
              <a16:creationId xmlns:a16="http://schemas.microsoft.com/office/drawing/2014/main" id="{E5CE2434-E7BF-4CFD-AC1F-9A03B45A8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91438</xdr:colOff>
      <xdr:row>15</xdr:row>
      <xdr:rowOff>22860</xdr:rowOff>
    </xdr:from>
    <xdr:to>
      <xdr:col>23</xdr:col>
      <xdr:colOff>228126</xdr:colOff>
      <xdr:row>28</xdr:row>
      <xdr:rowOff>77141</xdr:rowOff>
    </xdr:to>
    <xdr:graphicFrame macro="">
      <xdr:nvGraphicFramePr>
        <xdr:cNvPr id="6" name="Chart 5">
          <a:extLst>
            <a:ext uri="{FF2B5EF4-FFF2-40B4-BE49-F238E27FC236}">
              <a16:creationId xmlns:a16="http://schemas.microsoft.com/office/drawing/2014/main" id="{B1F404FE-FA25-4FD8-9EFB-CD2A6A33C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473726</xdr:colOff>
      <xdr:row>6</xdr:row>
      <xdr:rowOff>5988</xdr:rowOff>
    </xdr:from>
    <xdr:to>
      <xdr:col>7</xdr:col>
      <xdr:colOff>540326</xdr:colOff>
      <xdr:row>11</xdr:row>
      <xdr:rowOff>180108</xdr:rowOff>
    </xdr:to>
    <xdr:sp macro="" textlink="pivots!A4">
      <xdr:nvSpPr>
        <xdr:cNvPr id="14" name="Rectangle: Rounded Corners 13">
          <a:extLst>
            <a:ext uri="{FF2B5EF4-FFF2-40B4-BE49-F238E27FC236}">
              <a16:creationId xmlns:a16="http://schemas.microsoft.com/office/drawing/2014/main" id="{2DF9187C-123B-EFB8-642F-06B75A85BBE7}"/>
            </a:ext>
          </a:extLst>
        </xdr:cNvPr>
        <xdr:cNvSpPr/>
      </xdr:nvSpPr>
      <xdr:spPr>
        <a:xfrm flipH="1">
          <a:off x="2302526" y="1266752"/>
          <a:ext cx="2505000" cy="1074665"/>
        </a:xfrm>
        <a:prstGeom prst="roundRect">
          <a:avLst/>
        </a:prstGeom>
        <a:gradFill>
          <a:gsLst>
            <a:gs pos="14000">
              <a:srgbClr val="156548"/>
            </a:gs>
            <a:gs pos="2000">
              <a:schemeClr val="accent1">
                <a:lumMod val="45000"/>
                <a:lumOff val="55000"/>
              </a:schemeClr>
            </a:gs>
            <a:gs pos="96000">
              <a:schemeClr val="accent1">
                <a:lumMod val="45000"/>
                <a:lumOff val="55000"/>
              </a:schemeClr>
            </a:gs>
            <a:gs pos="100000">
              <a:srgbClr val="07230A"/>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C3304831-546A-4582-8943-F3813BC25B88}" type="TxLink">
            <a:rPr lang="en-US" sz="2000" b="0" i="0" u="none" strike="noStrike">
              <a:solidFill>
                <a:srgbClr val="000000"/>
              </a:solidFill>
              <a:latin typeface="Calibri"/>
              <a:ea typeface="Calibri"/>
              <a:cs typeface="Calibri"/>
            </a:rPr>
            <a:pPr lvl="0" algn="ctr"/>
            <a:t> $16,62,16,89,036 </a:t>
          </a:fld>
          <a:endParaRPr lang="en-US" sz="2000"/>
        </a:p>
      </xdr:txBody>
    </xdr:sp>
    <xdr:clientData/>
  </xdr:twoCellAnchor>
  <xdr:twoCellAnchor>
    <xdr:from>
      <xdr:col>8</xdr:col>
      <xdr:colOff>438149</xdr:colOff>
      <xdr:row>6</xdr:row>
      <xdr:rowOff>12989</xdr:rowOff>
    </xdr:from>
    <xdr:to>
      <xdr:col>12</xdr:col>
      <xdr:colOff>347865</xdr:colOff>
      <xdr:row>11</xdr:row>
      <xdr:rowOff>126966</xdr:rowOff>
    </xdr:to>
    <xdr:sp macro="" textlink="pivots!A8">
      <xdr:nvSpPr>
        <xdr:cNvPr id="15" name="Rectangle: Rounded Corners 14">
          <a:extLst>
            <a:ext uri="{FF2B5EF4-FFF2-40B4-BE49-F238E27FC236}">
              <a16:creationId xmlns:a16="http://schemas.microsoft.com/office/drawing/2014/main" id="{B187DD2A-310A-40A1-B577-B0FD451189B6}"/>
            </a:ext>
          </a:extLst>
        </xdr:cNvPr>
        <xdr:cNvSpPr/>
      </xdr:nvSpPr>
      <xdr:spPr>
        <a:xfrm flipH="1">
          <a:off x="5314949" y="1273753"/>
          <a:ext cx="2348116" cy="1014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DF7B79-6C71-43C1-893D-F9CCBCD7D20B}" type="TxLink">
            <a:rPr lang="en-US" sz="2400" b="0" i="0" u="none" strike="noStrike">
              <a:solidFill>
                <a:srgbClr val="000000"/>
              </a:solidFill>
              <a:latin typeface="Calibri"/>
              <a:ea typeface="Calibri"/>
              <a:cs typeface="Calibri"/>
            </a:rPr>
            <a:t> $29,95,540.67 </a:t>
          </a:fld>
          <a:endParaRPr lang="en-US" sz="4400" b="0" i="0" u="none" strike="noStrike">
            <a:solidFill>
              <a:srgbClr val="000000"/>
            </a:solidFill>
            <a:latin typeface="Calibri"/>
            <a:ea typeface="Calibri"/>
            <a:cs typeface="Calibri"/>
          </a:endParaRPr>
        </a:p>
      </xdr:txBody>
    </xdr:sp>
    <xdr:clientData/>
  </xdr:twoCellAnchor>
  <xdr:twoCellAnchor>
    <xdr:from>
      <xdr:col>13</xdr:col>
      <xdr:colOff>438149</xdr:colOff>
      <xdr:row>6</xdr:row>
      <xdr:rowOff>29441</xdr:rowOff>
    </xdr:from>
    <xdr:to>
      <xdr:col>17</xdr:col>
      <xdr:colOff>347865</xdr:colOff>
      <xdr:row>11</xdr:row>
      <xdr:rowOff>143418</xdr:rowOff>
    </xdr:to>
    <xdr:sp macro="" textlink="pivots!C9">
      <xdr:nvSpPr>
        <xdr:cNvPr id="16" name="Rectangle: Rounded Corners 15">
          <a:extLst>
            <a:ext uri="{FF2B5EF4-FFF2-40B4-BE49-F238E27FC236}">
              <a16:creationId xmlns:a16="http://schemas.microsoft.com/office/drawing/2014/main" id="{BD8FEC21-0396-4F68-A3E2-B1B4BA9E001F}"/>
            </a:ext>
          </a:extLst>
        </xdr:cNvPr>
        <xdr:cNvSpPr/>
      </xdr:nvSpPr>
      <xdr:spPr>
        <a:xfrm flipH="1">
          <a:off x="8362949" y="1290205"/>
          <a:ext cx="2348116" cy="1014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C8660E-981C-4CB9-B7F7-8BC542E721C9}" type="TxLink">
            <a:rPr lang="en-US" sz="2400" b="0" i="0" u="none" strike="noStrike">
              <a:solidFill>
                <a:srgbClr val="000000"/>
              </a:solidFill>
              <a:latin typeface="Calibri"/>
              <a:ea typeface="Calibri"/>
              <a:cs typeface="Calibri"/>
            </a:rPr>
            <a:t> $2,32,627.50 </a:t>
          </a:fld>
          <a:endParaRPr lang="en-US" sz="4400"/>
        </a:p>
      </xdr:txBody>
    </xdr:sp>
    <xdr:clientData/>
  </xdr:twoCellAnchor>
  <xdr:twoCellAnchor>
    <xdr:from>
      <xdr:col>18</xdr:col>
      <xdr:colOff>577560</xdr:colOff>
      <xdr:row>6</xdr:row>
      <xdr:rowOff>71870</xdr:rowOff>
    </xdr:from>
    <xdr:to>
      <xdr:col>22</xdr:col>
      <xdr:colOff>487276</xdr:colOff>
      <xdr:row>12</xdr:row>
      <xdr:rowOff>5738</xdr:rowOff>
    </xdr:to>
    <xdr:sp macro="" textlink="pivots!D4">
      <xdr:nvSpPr>
        <xdr:cNvPr id="17" name="Rectangle: Rounded Corners 16">
          <a:extLst>
            <a:ext uri="{FF2B5EF4-FFF2-40B4-BE49-F238E27FC236}">
              <a16:creationId xmlns:a16="http://schemas.microsoft.com/office/drawing/2014/main" id="{D1B7CE4E-2199-451F-8F5B-933DA1AD75DA}"/>
            </a:ext>
          </a:extLst>
        </xdr:cNvPr>
        <xdr:cNvSpPr/>
      </xdr:nvSpPr>
      <xdr:spPr>
        <a:xfrm flipH="1">
          <a:off x="11550360" y="1332634"/>
          <a:ext cx="2348116" cy="1014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DF9665-8468-4B28-BF74-D96333653BF0}" type="TxLink">
            <a:rPr lang="en-US" sz="2400" b="0" i="0" u="none" strike="noStrike">
              <a:solidFill>
                <a:srgbClr val="000000"/>
              </a:solidFill>
              <a:latin typeface="Calibri"/>
              <a:ea typeface="Calibri"/>
              <a:cs typeface="Calibri"/>
            </a:rPr>
            <a:pPr algn="ctr"/>
            <a:t> $69,44,325.77 </a:t>
          </a:fld>
          <a:endParaRPr lang="en-US" sz="7200"/>
        </a:p>
      </xdr:txBody>
    </xdr:sp>
    <xdr:clientData/>
  </xdr:twoCellAnchor>
  <xdr:twoCellAnchor>
    <xdr:from>
      <xdr:col>0</xdr:col>
      <xdr:colOff>113731</xdr:colOff>
      <xdr:row>32</xdr:row>
      <xdr:rowOff>95250</xdr:rowOff>
    </xdr:from>
    <xdr:to>
      <xdr:col>8</xdr:col>
      <xdr:colOff>400050</xdr:colOff>
      <xdr:row>40</xdr:row>
      <xdr:rowOff>0</xdr:rowOff>
    </xdr:to>
    <xdr:sp macro="" textlink="">
      <xdr:nvSpPr>
        <xdr:cNvPr id="18" name="Rectangle: Rounded Corners 17">
          <a:extLst>
            <a:ext uri="{FF2B5EF4-FFF2-40B4-BE49-F238E27FC236}">
              <a16:creationId xmlns:a16="http://schemas.microsoft.com/office/drawing/2014/main" id="{976CF6F1-1F04-94D9-D35C-50B01919F512}"/>
            </a:ext>
          </a:extLst>
        </xdr:cNvPr>
        <xdr:cNvSpPr/>
      </xdr:nvSpPr>
      <xdr:spPr>
        <a:xfrm>
          <a:off x="113731" y="6100265"/>
          <a:ext cx="5199513" cy="1360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0624996" backgroundQuery="1" createdVersion="8" refreshedVersion="8" minRefreshableVersion="3" recordCount="0" supportSubquery="1" supportAdvancedDrill="1" xr:uid="{A30BEF99-97DB-469F-831A-F74CFA060810}">
  <cacheSource type="external" connectionId="1"/>
  <cacheFields count="3">
    <cacheField name="[financials].[Product].[Product]" caption="Product" numFmtId="0" hierarchy="2" level="1">
      <sharedItems count="6">
        <s v="Amarilla"/>
        <s v="Carretera"/>
        <s v="Montana"/>
        <s v="Paseo"/>
        <s v="Velo"/>
        <s v="VTT"/>
      </sharedItems>
    </cacheField>
    <cacheField name="[Measures].[Sum of Profit]" caption="Sum of Profit" numFmtId="0" hierarchy="24"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2" memberValueDatatype="130" unbalanced="0"/>
    <cacheHierarchy uniqueName="[financials].[Units Sold]" caption="Units Sold" attribute="1" defaultMemberUniqueName="[financials].[Units Sold].[All]" allUniqueName="[financials].[Units Sold].[All]" dimensionUniqueName="[financials]" displayFolder="" count="2" memberValueDatatype="5" unbalanced="0"/>
    <cacheHierarchy uniqueName="[financials].[Manufacturing Price]" caption="Manufacturing Price" attribute="1" defaultMemberUniqueName="[financials].[Manufacturing Price].[All]" allUniqueName="[financials].[Manufacturing Price].[All]" dimensionUniqueName="[financials]" displayFolder="" count="2" memberValueDatatype="20" unbalanced="0"/>
    <cacheHierarchy uniqueName="[financials].[Sale Price]" caption="Sale Price" attribute="1" defaultMemberUniqueName="[financials].[Sale Price].[All]" allUniqueName="[financials].[Sale Price].[All]" dimensionUniqueName="[financials]" displayFolder="" count="2" memberValueDatatype="20" unbalanced="0"/>
    <cacheHierarchy uniqueName="[financials].[Gross Sales]" caption="Gross Sales" attribute="1" defaultMemberUniqueName="[financials].[Gross Sales].[All]" allUniqueName="[financials].[Gross Sales].[All]" dimensionUniqueName="[financials]" displayFolder="" count="2" memberValueDatatype="5" unbalanced="0"/>
    <cacheHierarchy uniqueName="[financials].[Discounts]" caption="Discounts" attribute="1" defaultMemberUniqueName="[financials].[Discounts].[All]" allUniqueName="[financials].[Discounts].[All]" dimensionUniqueName="[financials]" displayFolder="" count="2" memberValueDatatype="5" unbalanced="0"/>
    <cacheHierarchy uniqueName="[financials].[Sales]" caption="Sales" attribute="1" defaultMemberUniqueName="[financials].[Sales].[All]" allUniqueName="[financials].[Sales].[All]" dimensionUniqueName="[financials]" displayFolder="" count="2" memberValueDatatype="5" unbalanced="0"/>
    <cacheHierarchy uniqueName="[financials].[COGS]" caption="COGS" attribute="1" defaultMemberUniqueName="[financials].[COGS].[All]" allUniqueName="[financials].[COGS].[All]" dimensionUniqueName="[financials]" displayFolder="" count="2" memberValueDatatype="5" unbalanced="0"/>
    <cacheHierarchy uniqueName="[financials].[Profit]" caption="Profit" attribute="1" defaultMemberUniqueName="[financials].[Profit].[All]" allUniqueName="[financials].[Profit].[All]" dimensionUniqueName="[financials]" displayFolder="" count="2"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2"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130" unbalanced="0"/>
    <cacheHierarchy uniqueName="[financials].[Revenue]" caption="Revenue" attribute="1" defaultMemberUniqueName="[financials].[Revenue].[All]" allUniqueName="[financials].[Revenue].[All]" dimensionUniqueName="[financials]" displayFolder="" count="2" memberValueDatatype="5" unbalanced="0"/>
    <cacheHierarchy uniqueName="[financials].[Date (Year)]" caption="Date (Year)" attribute="1" defaultMemberUniqueName="[financials].[Date (Year)].[All]" allUniqueName="[financials].[Date (Year)].[All]" dimensionUniqueName="[financials]" displayFolder="" count="2" memberValueDatatype="130" unbalanced="0"/>
    <cacheHierarchy uniqueName="[financials].[Date (Quarter)]" caption="Date (Quarter)" attribute="1" defaultMemberUniqueName="[financials].[Date (Quarter)].[All]" allUniqueName="[financials].[Date (Quarter)].[All]" dimensionUniqueName="[financials]" displayFolder="" count="2" memberValueDatatype="130" unbalanced="0"/>
    <cacheHierarchy uniqueName="[financials].[Date (Month)]" caption="Date (Month)" attribute="1" defaultMemberUniqueName="[financials].[Date (Month)].[All]" allUniqueName="[financials].[Date (Month)].[All]" dimensionUniqueName="[financials]" displayFolder="" count="2" memberValueDatatype="130" unbalanced="0"/>
    <cacheHierarchy uniqueName="[financials].[Date (Month Index)]" caption="Date (Month Index)" attribute="1" defaultMemberUniqueName="[financials].[Date (Month Index)].[All]" allUniqueName="[financials].[Date (Month Index)].[All]" dimensionUniqueName="[financials]" displayFolder="" count="2"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0856481" backgroundQuery="1" createdVersion="8" refreshedVersion="8" minRefreshableVersion="3" recordCount="0" supportSubquery="1" supportAdvancedDrill="1" xr:uid="{69119433-25F1-4C6D-AAED-E70F74A20F6C}">
  <cacheSource type="external" connectionId="1"/>
  <cacheFields count="2">
    <cacheField name="[Measures].[Sum of Revenue]" caption="Sum of Revenue" numFmtId="0" hierarchy="23"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097222" backgroundQuery="1" createdVersion="8" refreshedVersion="8" minRefreshableVersion="3" recordCount="0" supportSubquery="1" supportAdvancedDrill="1" xr:uid="{54B02AEC-322B-4212-96BE-C7742B9DFA8C}">
  <cacheSource type="external" connectionId="1"/>
  <cacheFields count="2">
    <cacheField name="[Measures].[Sum of Profit]" caption="Sum of Profit" numFmtId="0" hierarchy="24"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1435182" backgroundQuery="1" createdVersion="8" refreshedVersion="8" minRefreshableVersion="3" recordCount="0" supportSubquery="1" supportAdvancedDrill="1" xr:uid="{FFDBEF35-C001-4689-BB4E-0D38B0219834}">
  <cacheSource type="external" connectionId="1"/>
  <cacheFields count="3">
    <cacheField name="[financials].[Product].[Product]" caption="Product" numFmtId="0" hierarchy="2" level="1">
      <sharedItems count="1">
        <s v="Paseo"/>
      </sharedItems>
    </cacheField>
    <cacheField name="[Measures].[Sum of Sales]" caption="Sum of Sales" numFmtId="0" hierarchy="25"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1550928" backgroundQuery="1" createdVersion="8" refreshedVersion="8" minRefreshableVersion="3" recordCount="0" supportSubquery="1" supportAdvancedDrill="1" xr:uid="{643774EE-812E-49D1-8A54-901BCF102910}">
  <cacheSource type="external" connectionId="1"/>
  <cacheFields count="2">
    <cacheField name="[Measures].[Sum of Units Sold]" caption="Sum of Units Sold" numFmtId="0" hierarchy="26"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2013889" backgroundQuery="1" createdVersion="8" refreshedVersion="8" minRefreshableVersion="3" recordCount="0" supportSubquery="1" supportAdvancedDrill="1" xr:uid="{34848784-8BA1-4E53-89F1-1EF0159C0C2B}">
  <cacheSource type="external" connectionId="1"/>
  <cacheFields count="3">
    <cacheField name="[financials].[Date (Month)].[Date (Month)]" caption="Date (Month)" numFmtId="0" hierarchy="19" level="1">
      <sharedItems count="12">
        <s v="Jan"/>
        <s v="Feb"/>
        <s v="Mar"/>
        <s v="Apr"/>
        <s v="May"/>
        <s v="Jun"/>
        <s v="Jul"/>
        <s v="Aug"/>
        <s v="Sep"/>
        <s v="Oct"/>
        <s v="Nov"/>
        <s v="Dec"/>
      </sharedItems>
    </cacheField>
    <cacheField name="[Measures].[Sum of Sales]" caption="Sum of Sales" numFmtId="0" hierarchy="25" level="32767"/>
    <cacheField name="[financials].[Country].[Country]" caption="Country" numFmtId="0" hierarchy="1" level="1">
      <sharedItems containsSemiMixedTypes="0" containsNonDate="0" containsString="0"/>
    </cacheField>
  </cacheFields>
  <cacheHierarchies count="28">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2" memberValueDatatype="130" unbalanced="0">
      <fieldsUsage count="2">
        <fieldUsage x="-1"/>
        <fieldUsage x="0"/>
      </fieldsUsage>
    </cacheHierarchy>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2361113" backgroundQuery="1" createdVersion="8" refreshedVersion="8" minRefreshableVersion="3" recordCount="0" supportSubquery="1" supportAdvancedDrill="1" xr:uid="{5E129981-96DD-4692-8F91-C148B154AFBF}">
  <cacheSource type="external" connectionId="1"/>
  <cacheFields count="3">
    <cacheField name="[financials].[Country].[Country]" caption="Country" numFmtId="0" hierarchy="1" level="1">
      <sharedItems containsSemiMixedTypes="0" containsNonDate="0" containsString="0"/>
    </cacheField>
    <cacheField name="[financials].[Segment].[Segment]" caption="Segment" numFmtId="0" level="1">
      <sharedItems count="5">
        <s v="Channel Partners"/>
        <s v="Enterprise"/>
        <s v="Government"/>
        <s v="Midmarket"/>
        <s v="Small Business"/>
      </sharedItems>
    </cacheField>
    <cacheField name="[Measures].[Sum of Revenue]" caption="Sum of Revenue" numFmtId="0" hierarchy="23" level="32767"/>
  </cacheFields>
  <cacheHierarchies count="28">
    <cacheHierarchy uniqueName="[financials].[Segment]" caption="Segment" attribute="1" defaultMemberUniqueName="[financials].[Segment].[All]" allUniqueName="[financials].[Segment].[All]" dimensionUniqueName="[financials]" displayFolder="" count="2" memberValueDatatype="130" unbalanced="0">
      <fieldsUsage count="2">
        <fieldUsage x="-1"/>
        <fieldUsage x="1"/>
      </fieldsUsage>
    </cacheHierarchy>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64042708336" backgroundQuery="1" createdVersion="8" refreshedVersion="8" minRefreshableVersion="3" recordCount="0" supportSubquery="1" supportAdvancedDrill="1" xr:uid="{1BD76895-C8A5-4EF1-B2D4-912874EDBDED}">
  <cacheSource type="external" connectionId="1"/>
  <cacheFields count="3">
    <cacheField name="[financials].[Country].[Country]" caption="Country" numFmtId="0" hierarchy="1" level="1">
      <sharedItems containsSemiMixedTypes="0" containsNonDate="0" containsString="0"/>
    </cacheField>
    <cacheField name="[financials].[Discount Band].[Discount Band]" caption="Discount Band" numFmtId="0" hierarchy="3" level="1">
      <sharedItems count="4">
        <s v="High"/>
        <s v="Low"/>
        <s v="Medium"/>
        <s v="None"/>
      </sharedItems>
    </cacheField>
    <cacheField name="[Measures].[Sum of Units Sold]" caption="Sum of Units Sold" numFmtId="0" hierarchy="26" level="32767"/>
  </cacheFields>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2" memberValueDatatype="130" unbalanced="0">
      <fieldsUsage count="2">
        <fieldUsage x="-1"/>
        <fieldUsage x="1"/>
      </fieldsUsage>
    </cacheHierarchy>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2"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dik Shaik" refreshedDate="46217.43890601852" backgroundQuery="1" createdVersion="3" refreshedVersion="8" minRefreshableVersion="3" recordCount="0" supportSubquery="1" supportAdvancedDrill="1" xr:uid="{D66B83E1-B2C6-40DA-8C3C-199950D6D38D}">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Revenue]" caption="Revenue" attribute="1" defaultMemberUniqueName="[financials].[Revenue].[All]" allUniqueName="[financials].[Revenue].[All]" dimensionUniqueName="[financials]" displayFolder="" count="0" memberValueDatatype="5"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Revenue]" caption="Sum of Revenue" measure="1" displayFolder="" measureGroup="financial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950737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E8C83-C71E-4A3A-B968-B4B21419EF6E}" name="PivotTable10" cacheId="7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discount Band">
  <location ref="A30:B3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Units Sold" fld="2" baseField="0" baseItem="0" numFmtId="2"/>
  </dataFields>
  <formats count="3">
    <format dxfId="26">
      <pivotArea type="all" dataOnly="0" outline="0" fieldPosition="0"/>
    </format>
    <format dxfId="27">
      <pivotArea outline="0" collapsedLevelsAreSubtotals="1" fieldPosition="0"/>
    </format>
    <format dxfId="28">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3BC3D-D062-4077-95A5-3D16842D1EFA}" name="PivotTable9" cacheId="7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segment">
  <location ref="D25:E3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Revenue" fld="2" baseField="0" baseItem="0" numFmtId="164"/>
  </dataFields>
  <formats count="2">
    <format dxfId="24">
      <pivotArea outline="0" collapsedLevelsAreSubtotals="1" fieldPosition="0"/>
    </format>
    <format dxfId="25">
      <pivotArea dataOnly="0" labelOnly="1" outline="0" axis="axisValues" fieldPosition="0"/>
    </format>
  </formats>
  <chartFormats count="7">
    <chartFormat chart="0" format="1"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1"/>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4"/>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CBD13-CEDE-4570-A92B-998D5AC8F2F8}" name="PivotTable8" cacheId="68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location ref="D13:E2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 fld="1" baseField="0" baseItem="0" numFmtId="164"/>
  </dataFields>
  <formats count="2">
    <format dxfId="22">
      <pivotArea outline="0" collapsedLevelsAreSubtotals="1" fieldPosition="0"/>
    </format>
    <format dxfId="2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91ACDC-BEB3-4DE5-977E-44752FAB9E22}" name="PivotTable6" cacheId="7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3:B2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67"/>
  </dataFields>
  <formats count="3">
    <format dxfId="19">
      <pivotArea dataOnly="0" outline="0" axis="axisValues" fieldPosition="0"/>
    </format>
    <format dxfId="20">
      <pivotArea outline="0" collapsedLevelsAreSubtotals="1" fieldPosition="0"/>
    </format>
    <format dxfId="2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854AE6-659C-4382-A71E-C48DEA544CE5}" name="PivotTable5" cacheId="7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baseField="0" baseItem="0" numFmtId="164"/>
  </dataFields>
  <formats count="3">
    <format dxfId="16">
      <pivotArea type="all" dataOnly="0" outline="0" fieldPosition="0"/>
    </format>
    <format dxfId="17">
      <pivotArea outline="0" collapsedLevelsAreSubtotals="1" fieldPosition="0"/>
    </format>
    <format dxfId="18">
      <pivotArea dataOnly="0" labelOnly="1" outline="0" axis="axisValues"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Units Sol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6034B-14F2-45C3-9078-F8B2960681D0}" name="PivotTable4" cacheId="6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D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164"/>
  </dataFields>
  <formats count="2">
    <format dxfId="14">
      <pivotArea outline="0" collapsedLevelsAreSubtotals="1" fieldPosition="0"/>
    </format>
    <format dxfId="15">
      <pivotArea dataOnly="0" labelOnly="1" outline="0" axis="axisValues"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36B67-0EE9-4D87-BFD2-62A7A35AADB1}" name="PivotTable3" cacheId="6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formats count="3">
    <format dxfId="11">
      <pivotArea type="all" dataOnly="0" outline="0" fieldPosition="0"/>
    </format>
    <format dxfId="12">
      <pivotArea outline="0" collapsedLevelsAreSubtotals="1" fieldPosition="0"/>
    </format>
    <format dxfId="13">
      <pivotArea dataOnly="0" labelOnly="1" outline="0" axis="axisValues"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F71EF-BD17-4025-A339-AC494F30C142}" name="PivotTable2" cacheId="6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9"/>
  </dataFields>
  <formats count="3">
    <format dxfId="9">
      <pivotArea type="all" dataOnly="0" outline="0" fieldPosition="0"/>
    </format>
    <format dxfId="10">
      <pivotArea dataOnly="0" labelOnly="1" outline="0" axis="axisValues" fieldPosition="0"/>
    </format>
    <format dxfId="1">
      <pivotArea outline="0" collapsedLevelsAreSubtotals="1" fieldPosition="0"/>
    </format>
  </formats>
  <pivotHierarchies count="28">
    <pivotHierarchy dragToData="1"/>
    <pivotHierarchy multipleItemSelectionAllowed="1" dragToData="1">
      <members count="1" level="1">
        <member name="[financials].[Country].&amp;[United States of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EFB618-1D1C-4B2D-BBFE-69BA9DE8EF8D}" sourceName="[financials].[Country]">
  <pivotTables>
    <pivotTable tabId="7" name="PivotTable8"/>
    <pivotTable tabId="7" name="PivotTable2"/>
    <pivotTable tabId="7" name="PivotTable3"/>
    <pivotTable tabId="7" name="PivotTable4"/>
    <pivotTable tabId="7" name="PivotTable5"/>
    <pivotTable tabId="7" name="PivotTable6"/>
    <pivotTable tabId="7" name="PivotTable9"/>
    <pivotTable tabId="7" name="PivotTable10"/>
  </pivotTables>
  <data>
    <olap pivotCacheId="195073730">
      <levels count="2">
        <level uniqueName="[financials].[Country].[(All)]" sourceCaption="(All)" count="0"/>
        <level uniqueName="[financials].[Country].[Country]" sourceCaption="Country" count="5">
          <ranges>
            <range startItem="0">
              <i n="[financials].[Country].&amp;[Canada]" c="Canada"/>
              <i n="[financials].[Country].&amp;[France]" c="France"/>
              <i n="[financials].[Country].&amp;[Germany]" c="Germany"/>
              <i n="[financials].[Country].&amp;[Mexico]" c="Mexico"/>
              <i n="[financials].[Country].&amp;[United States of America]" c="United States of America"/>
            </range>
          </ranges>
        </level>
      </levels>
      <selections count="1">
        <selection n="[financials].[Country].&amp;[United States of Americ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D7EB8E7-DC4A-4A29-91B0-76B452AD011A}" cache="Slicer_Country" caption="Count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Q701" totalsRowShown="0" headerRowDxfId="44" dataDxfId="43" headerRowCellStyle="Currency" dataCellStyle="Currency">
  <autoFilter ref="A1:Q701" xr:uid="{00000000-0009-0000-0100-000001000000}"/>
  <tableColumns count="17">
    <tableColumn id="1" xr3:uid="{00000000-0010-0000-0000-000001000000}" name="Segment"/>
    <tableColumn id="2" xr3:uid="{00000000-0010-0000-0000-000002000000}" name="Country"/>
    <tableColumn id="16" xr3:uid="{00000000-0010-0000-0000-000010000000}" name="Product" dataDxfId="42" dataCellStyle="Currency"/>
    <tableColumn id="19" xr3:uid="{00000000-0010-0000-0000-000013000000}" name="Discount Band" dataDxfId="41" dataCellStyle="Currency"/>
    <tableColumn id="6" xr3:uid="{00000000-0010-0000-0000-000006000000}" name="Units Sold"/>
    <tableColumn id="7" xr3:uid="{00000000-0010-0000-0000-000007000000}" name="Manufacturing Price" dataDxfId="40" dataCellStyle="Currency"/>
    <tableColumn id="8" xr3:uid="{00000000-0010-0000-0000-000008000000}" name="Sale Price" dataDxfId="39" dataCellStyle="Currency"/>
    <tableColumn id="9" xr3:uid="{00000000-0010-0000-0000-000009000000}" name="Gross Sales" dataDxfId="38" dataCellStyle="Currency"/>
    <tableColumn id="10" xr3:uid="{00000000-0010-0000-0000-00000A000000}" name="Discounts" dataDxfId="37" dataCellStyle="Currency"/>
    <tableColumn id="11" xr3:uid="{00000000-0010-0000-0000-00000B000000}" name=" Sales" dataDxfId="36" dataCellStyle="Currency"/>
    <tableColumn id="12" xr3:uid="{00000000-0010-0000-0000-00000C000000}" name="COGS" dataDxfId="35" dataCellStyle="Currency"/>
    <tableColumn id="13" xr3:uid="{00000000-0010-0000-0000-00000D000000}" name="Profit" dataDxfId="34" dataCellStyle="Currency"/>
    <tableColumn id="4" xr3:uid="{00000000-0010-0000-0000-000004000000}" name="Date" dataDxfId="33" dataCellStyle="Currency"/>
    <tableColumn id="17" xr3:uid="{00000000-0010-0000-0000-000011000000}" name="Month Number" dataDxfId="32" dataCellStyle="Currency"/>
    <tableColumn id="18" xr3:uid="{00000000-0010-0000-0000-000012000000}" name="Month Name" dataDxfId="31" dataCellStyle="Currency"/>
    <tableColumn id="20" xr3:uid="{00000000-0010-0000-0000-000014000000}" name="Year" dataDxfId="30" dataCellStyle="Currency"/>
    <tableColumn id="3" xr3:uid="{660E1B08-8F38-4F63-8051-3EEECDF89AF5}" name="Revenue" dataDxfId="29" dataCellStyle="Currency">
      <calculatedColumnFormula>SUM(J:J)</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BEBA-66B9-4279-BE48-D8FB926A200D}">
  <dimension ref="A1:E35"/>
  <sheetViews>
    <sheetView workbookViewId="0">
      <selection activeCell="A4" sqref="A4"/>
    </sheetView>
  </sheetViews>
  <sheetFormatPr defaultRowHeight="14.4" x14ac:dyDescent="0.3"/>
  <cols>
    <col min="1" max="1" width="18.6640625" bestFit="1" customWidth="1"/>
    <col min="2" max="2" width="16" bestFit="1" customWidth="1"/>
    <col min="3" max="3" width="15.21875" bestFit="1" customWidth="1"/>
    <col min="4" max="4" width="14.88671875" bestFit="1" customWidth="1"/>
    <col min="5" max="5" width="19.33203125" bestFit="1" customWidth="1"/>
    <col min="6" max="6" width="12" bestFit="1" customWidth="1"/>
    <col min="7" max="12" width="15.5546875" bestFit="1" customWidth="1"/>
    <col min="13" max="13" width="10.77734375" bestFit="1" customWidth="1"/>
    <col min="14" max="16" width="15.5546875" bestFit="1" customWidth="1"/>
    <col min="17" max="18" width="10.77734375" bestFit="1" customWidth="1"/>
  </cols>
  <sheetData>
    <row r="1" spans="1:5" ht="15.6" x14ac:dyDescent="0.3">
      <c r="A1" s="11" t="s">
        <v>55</v>
      </c>
    </row>
    <row r="3" spans="1:5" x14ac:dyDescent="0.3">
      <c r="A3" s="15" t="s">
        <v>54</v>
      </c>
      <c r="C3" s="12" t="s">
        <v>51</v>
      </c>
      <c r="D3" s="15" t="s">
        <v>56</v>
      </c>
    </row>
    <row r="4" spans="1:5" x14ac:dyDescent="0.3">
      <c r="A4" s="21">
        <v>16621689036.399988</v>
      </c>
      <c r="C4" s="13" t="s">
        <v>40</v>
      </c>
      <c r="D4" s="15">
        <v>6944325.7699999996</v>
      </c>
    </row>
    <row r="5" spans="1:5" x14ac:dyDescent="0.3">
      <c r="C5" s="13" t="s">
        <v>53</v>
      </c>
      <c r="D5" s="15">
        <v>6944325.7699999996</v>
      </c>
    </row>
    <row r="7" spans="1:5" x14ac:dyDescent="0.3">
      <c r="A7" s="15" t="s">
        <v>70</v>
      </c>
    </row>
    <row r="8" spans="1:5" x14ac:dyDescent="0.3">
      <c r="A8" s="15">
        <v>2995540.6649999991</v>
      </c>
      <c r="C8" s="15" t="s">
        <v>58</v>
      </c>
    </row>
    <row r="9" spans="1:5" x14ac:dyDescent="0.3">
      <c r="C9" s="15">
        <v>232627.5</v>
      </c>
    </row>
    <row r="13" spans="1:5" x14ac:dyDescent="0.3">
      <c r="A13" s="12" t="s">
        <v>51</v>
      </c>
      <c r="B13" s="16" t="s">
        <v>56</v>
      </c>
      <c r="D13" s="12" t="s">
        <v>51</v>
      </c>
      <c r="E13" s="15" t="s">
        <v>52</v>
      </c>
    </row>
    <row r="14" spans="1:5" x14ac:dyDescent="0.3">
      <c r="A14" s="13" t="s">
        <v>63</v>
      </c>
      <c r="B14" s="16">
        <v>1346026.4850000001</v>
      </c>
      <c r="D14" s="13" t="s">
        <v>43</v>
      </c>
      <c r="E14" s="15">
        <v>388626.40499999997</v>
      </c>
    </row>
    <row r="15" spans="1:5" x14ac:dyDescent="0.3">
      <c r="A15" s="13" t="s">
        <v>64</v>
      </c>
      <c r="B15" s="16">
        <v>1332890.6599999999</v>
      </c>
      <c r="D15" s="13" t="s">
        <v>38</v>
      </c>
      <c r="E15" s="15">
        <v>238491.55</v>
      </c>
    </row>
    <row r="16" spans="1:5" x14ac:dyDescent="0.3">
      <c r="A16" s="13" t="s">
        <v>65</v>
      </c>
      <c r="B16" s="16">
        <v>1789974.4699999997</v>
      </c>
      <c r="D16" s="13" t="s">
        <v>39</v>
      </c>
      <c r="E16" s="15">
        <v>434521.80000000005</v>
      </c>
    </row>
    <row r="17" spans="1:5" x14ac:dyDescent="0.3">
      <c r="A17" s="13" t="s">
        <v>66</v>
      </c>
      <c r="B17" s="16">
        <v>1616624.4749999999</v>
      </c>
      <c r="D17" s="13" t="s">
        <v>40</v>
      </c>
      <c r="E17" s="15">
        <v>1020603.2700000001</v>
      </c>
    </row>
    <row r="18" spans="1:5" x14ac:dyDescent="0.3">
      <c r="A18" s="13" t="s">
        <v>25</v>
      </c>
      <c r="B18" s="16">
        <v>1949249.35</v>
      </c>
      <c r="D18" s="13" t="s">
        <v>41</v>
      </c>
      <c r="E18" s="15">
        <v>265401</v>
      </c>
    </row>
    <row r="19" spans="1:5" x14ac:dyDescent="0.3">
      <c r="A19" s="13" t="s">
        <v>67</v>
      </c>
      <c r="B19" s="16">
        <v>1323610.8000000005</v>
      </c>
      <c r="D19" s="13" t="s">
        <v>42</v>
      </c>
      <c r="E19" s="15">
        <v>647896.6399999999</v>
      </c>
    </row>
    <row r="20" spans="1:5" x14ac:dyDescent="0.3">
      <c r="A20" s="13" t="s">
        <v>68</v>
      </c>
      <c r="B20" s="16">
        <v>2308798.125</v>
      </c>
      <c r="D20" s="13" t="s">
        <v>53</v>
      </c>
      <c r="E20" s="15">
        <v>2995540.6649999991</v>
      </c>
    </row>
    <row r="21" spans="1:5" x14ac:dyDescent="0.3">
      <c r="A21" s="13" t="s">
        <v>69</v>
      </c>
      <c r="B21" s="16">
        <v>2007266.12</v>
      </c>
    </row>
    <row r="22" spans="1:5" x14ac:dyDescent="0.3">
      <c r="A22" s="13" t="s">
        <v>59</v>
      </c>
      <c r="B22" s="16">
        <v>2410276.3499999996</v>
      </c>
    </row>
    <row r="23" spans="1:5" x14ac:dyDescent="0.3">
      <c r="A23" s="13" t="s">
        <v>60</v>
      </c>
      <c r="B23" s="16">
        <v>3457103</v>
      </c>
    </row>
    <row r="24" spans="1:5" x14ac:dyDescent="0.3">
      <c r="A24" s="13" t="s">
        <v>61</v>
      </c>
      <c r="B24" s="16">
        <v>3093502.65</v>
      </c>
    </row>
    <row r="25" spans="1:5" x14ac:dyDescent="0.3">
      <c r="A25" s="13" t="s">
        <v>62</v>
      </c>
      <c r="B25" s="16">
        <v>2394507.6799999997</v>
      </c>
      <c r="D25" s="12" t="s">
        <v>71</v>
      </c>
      <c r="E25" s="15" t="s">
        <v>54</v>
      </c>
    </row>
    <row r="26" spans="1:5" x14ac:dyDescent="0.3">
      <c r="A26" s="13" t="s">
        <v>53</v>
      </c>
      <c r="B26" s="16">
        <v>25029830.165000014</v>
      </c>
      <c r="D26" s="13" t="s">
        <v>11</v>
      </c>
      <c r="E26" s="15">
        <v>2374527005.1999984</v>
      </c>
    </row>
    <row r="27" spans="1:5" x14ac:dyDescent="0.3">
      <c r="D27" s="13" t="s">
        <v>9</v>
      </c>
      <c r="E27" s="15">
        <v>2374527005.1999984</v>
      </c>
    </row>
    <row r="28" spans="1:5" x14ac:dyDescent="0.3">
      <c r="D28" s="13" t="s">
        <v>10</v>
      </c>
      <c r="E28" s="15">
        <v>7123581015.5999947</v>
      </c>
    </row>
    <row r="29" spans="1:5" x14ac:dyDescent="0.3">
      <c r="D29" s="13" t="s">
        <v>8</v>
      </c>
      <c r="E29" s="15">
        <v>2374527005.1999984</v>
      </c>
    </row>
    <row r="30" spans="1:5" x14ac:dyDescent="0.3">
      <c r="A30" s="17" t="s">
        <v>72</v>
      </c>
      <c r="B30" s="14" t="s">
        <v>57</v>
      </c>
      <c r="D30" s="13" t="s">
        <v>7</v>
      </c>
      <c r="E30" s="15">
        <v>2374527005.1999984</v>
      </c>
    </row>
    <row r="31" spans="1:5" x14ac:dyDescent="0.3">
      <c r="A31" s="18" t="s">
        <v>48</v>
      </c>
      <c r="B31" s="14">
        <v>92197</v>
      </c>
      <c r="D31" s="13" t="s">
        <v>53</v>
      </c>
      <c r="E31" s="15">
        <v>16621689036.399988</v>
      </c>
    </row>
    <row r="32" spans="1:5" x14ac:dyDescent="0.3">
      <c r="A32" s="18" t="s">
        <v>46</v>
      </c>
      <c r="B32" s="14">
        <v>52077</v>
      </c>
    </row>
    <row r="33" spans="1:2" x14ac:dyDescent="0.3">
      <c r="A33" s="18" t="s">
        <v>47</v>
      </c>
      <c r="B33" s="14">
        <v>77010.5</v>
      </c>
    </row>
    <row r="34" spans="1:2" x14ac:dyDescent="0.3">
      <c r="A34" s="18" t="s">
        <v>45</v>
      </c>
      <c r="B34" s="14">
        <v>11343</v>
      </c>
    </row>
    <row r="35" spans="1:2" x14ac:dyDescent="0.3">
      <c r="A35" s="18" t="s">
        <v>53</v>
      </c>
      <c r="B35" s="14">
        <v>232627.5</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01"/>
  <sheetViews>
    <sheetView topLeftCell="A2" zoomScale="85" zoomScaleNormal="85" workbookViewId="0">
      <selection activeCell="E12" sqref="A2:Q701"/>
    </sheetView>
  </sheetViews>
  <sheetFormatPr defaultRowHeight="14.4" x14ac:dyDescent="0.3"/>
  <cols>
    <col min="1" max="1" width="15.5546875" bestFit="1" customWidth="1"/>
    <col min="2" max="2" width="22.33203125" bestFit="1" customWidth="1"/>
    <col min="3" max="3" width="12" style="3" bestFit="1" customWidth="1"/>
    <col min="4" max="4" width="17.88671875" bestFit="1" customWidth="1"/>
    <col min="5" max="5" width="12.5546875" style="1" bestFit="1" customWidth="1"/>
    <col min="6" max="6" width="23.33203125" style="1" bestFit="1" customWidth="1"/>
    <col min="7" max="7" width="13.44140625" style="1" bestFit="1" customWidth="1"/>
    <col min="8" max="8" width="14.6640625" style="1" bestFit="1" customWidth="1"/>
    <col min="9" max="9" width="13.44140625" style="1" bestFit="1" customWidth="1"/>
    <col min="10" max="10" width="14.33203125" style="1" bestFit="1" customWidth="1"/>
    <col min="11" max="12" width="13.21875" bestFit="1" customWidth="1"/>
    <col min="13" max="13" width="7.44140625" style="4" bestFit="1" customWidth="1"/>
    <col min="14" max="14" width="3" style="9" bestFit="1" customWidth="1"/>
    <col min="15" max="15" width="16.88671875" bestFit="1" customWidth="1"/>
    <col min="16" max="16" width="7.44140625" style="2" bestFit="1" customWidth="1"/>
    <col min="17" max="17" width="17" bestFit="1" customWidth="1"/>
  </cols>
  <sheetData>
    <row r="1" spans="1:17" x14ac:dyDescent="0.3">
      <c r="A1" t="s">
        <v>6</v>
      </c>
      <c r="B1" t="s">
        <v>36</v>
      </c>
      <c r="C1" s="5" t="s">
        <v>37</v>
      </c>
      <c r="D1" s="5" t="s">
        <v>44</v>
      </c>
      <c r="E1" t="s">
        <v>4</v>
      </c>
      <c r="F1" s="1" t="s">
        <v>5</v>
      </c>
      <c r="G1" s="1" t="s">
        <v>35</v>
      </c>
      <c r="H1" s="1" t="s">
        <v>1</v>
      </c>
      <c r="I1" s="1" t="s">
        <v>2</v>
      </c>
      <c r="J1" s="1" t="s">
        <v>34</v>
      </c>
      <c r="K1" s="1" t="s">
        <v>3</v>
      </c>
      <c r="L1" s="1" t="s">
        <v>33</v>
      </c>
      <c r="M1" s="10" t="s">
        <v>12</v>
      </c>
      <c r="N1" s="8" t="s">
        <v>13</v>
      </c>
      <c r="O1" s="5" t="s">
        <v>49</v>
      </c>
      <c r="P1" s="7" t="s">
        <v>0</v>
      </c>
      <c r="Q1" s="5" t="s">
        <v>50</v>
      </c>
    </row>
    <row r="2" spans="1:17" x14ac:dyDescent="0.3">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c r="Q2" s="5">
        <f t="shared" ref="Q2:Q65" si="0">SUM(J:J)</f>
        <v>118726350.25999992</v>
      </c>
    </row>
    <row r="3" spans="1:17" x14ac:dyDescent="0.3">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c r="Q3" s="5">
        <f t="shared" si="0"/>
        <v>118726350.25999992</v>
      </c>
    </row>
    <row r="4" spans="1:17" x14ac:dyDescent="0.3">
      <c r="A4" t="s">
        <v>8</v>
      </c>
      <c r="B4" t="s">
        <v>18</v>
      </c>
      <c r="C4" s="5" t="s">
        <v>38</v>
      </c>
      <c r="D4" s="5" t="s">
        <v>45</v>
      </c>
      <c r="E4">
        <v>2178</v>
      </c>
      <c r="F4" s="1">
        <v>3</v>
      </c>
      <c r="G4" s="1">
        <v>15</v>
      </c>
      <c r="H4" s="1">
        <v>32670</v>
      </c>
      <c r="I4" s="1">
        <v>0</v>
      </c>
      <c r="J4" s="1">
        <v>32670</v>
      </c>
      <c r="K4" s="1">
        <v>21780</v>
      </c>
      <c r="L4" s="1">
        <v>10890</v>
      </c>
      <c r="M4" s="6">
        <v>41791</v>
      </c>
      <c r="N4" s="8">
        <v>6</v>
      </c>
      <c r="O4" s="5" t="s">
        <v>26</v>
      </c>
      <c r="P4" s="7" t="s">
        <v>15</v>
      </c>
      <c r="Q4" s="5">
        <f t="shared" si="0"/>
        <v>118726350.25999992</v>
      </c>
    </row>
    <row r="5" spans="1:17" x14ac:dyDescent="0.3">
      <c r="A5" t="s">
        <v>8</v>
      </c>
      <c r="B5" t="s">
        <v>19</v>
      </c>
      <c r="C5" s="5" t="s">
        <v>38</v>
      </c>
      <c r="D5" s="5" t="s">
        <v>45</v>
      </c>
      <c r="E5">
        <v>888</v>
      </c>
      <c r="F5" s="1">
        <v>3</v>
      </c>
      <c r="G5" s="1">
        <v>15</v>
      </c>
      <c r="H5" s="1">
        <v>13320</v>
      </c>
      <c r="I5" s="1">
        <v>0</v>
      </c>
      <c r="J5" s="1">
        <v>13320</v>
      </c>
      <c r="K5" s="1">
        <v>8880</v>
      </c>
      <c r="L5" s="1">
        <v>4440</v>
      </c>
      <c r="M5" s="6">
        <v>41791</v>
      </c>
      <c r="N5" s="8">
        <v>6</v>
      </c>
      <c r="O5" s="5" t="s">
        <v>26</v>
      </c>
      <c r="P5" s="7" t="s">
        <v>15</v>
      </c>
      <c r="Q5" s="5">
        <f t="shared" si="0"/>
        <v>118726350.25999992</v>
      </c>
    </row>
    <row r="6" spans="1:17" x14ac:dyDescent="0.3">
      <c r="A6" t="s">
        <v>8</v>
      </c>
      <c r="B6" t="s">
        <v>20</v>
      </c>
      <c r="C6" s="5" t="s">
        <v>38</v>
      </c>
      <c r="D6" s="5" t="s">
        <v>45</v>
      </c>
      <c r="E6">
        <v>2470</v>
      </c>
      <c r="F6" s="1">
        <v>3</v>
      </c>
      <c r="G6" s="1">
        <v>15</v>
      </c>
      <c r="H6" s="1">
        <v>37050</v>
      </c>
      <c r="I6" s="1">
        <v>0</v>
      </c>
      <c r="J6" s="1">
        <v>37050</v>
      </c>
      <c r="K6" s="1">
        <v>24700</v>
      </c>
      <c r="L6" s="1">
        <v>12350</v>
      </c>
      <c r="M6" s="6">
        <v>41791</v>
      </c>
      <c r="N6" s="8">
        <v>6</v>
      </c>
      <c r="O6" s="5" t="s">
        <v>26</v>
      </c>
      <c r="P6" s="7" t="s">
        <v>15</v>
      </c>
      <c r="Q6" s="5">
        <f t="shared" si="0"/>
        <v>118726350.25999992</v>
      </c>
    </row>
    <row r="7" spans="1:17" x14ac:dyDescent="0.3">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c r="Q7" s="5">
        <f t="shared" si="0"/>
        <v>118726350.25999992</v>
      </c>
    </row>
    <row r="8" spans="1:17" x14ac:dyDescent="0.3">
      <c r="A8" t="s">
        <v>8</v>
      </c>
      <c r="B8" t="s">
        <v>19</v>
      </c>
      <c r="C8" s="5" t="s">
        <v>39</v>
      </c>
      <c r="D8" s="5" t="s">
        <v>45</v>
      </c>
      <c r="E8">
        <v>921</v>
      </c>
      <c r="F8" s="1">
        <v>5</v>
      </c>
      <c r="G8" s="1">
        <v>15</v>
      </c>
      <c r="H8" s="1">
        <v>13815</v>
      </c>
      <c r="I8" s="1">
        <v>0</v>
      </c>
      <c r="J8" s="1">
        <v>13815</v>
      </c>
      <c r="K8" s="1">
        <v>9210</v>
      </c>
      <c r="L8" s="1">
        <v>4605</v>
      </c>
      <c r="M8" s="6">
        <v>41699</v>
      </c>
      <c r="N8" s="8">
        <v>3</v>
      </c>
      <c r="O8" s="5" t="s">
        <v>23</v>
      </c>
      <c r="P8" s="7" t="s">
        <v>15</v>
      </c>
      <c r="Q8" s="5">
        <f t="shared" si="0"/>
        <v>118726350.25999992</v>
      </c>
    </row>
    <row r="9" spans="1:17" x14ac:dyDescent="0.3">
      <c r="A9" t="s">
        <v>11</v>
      </c>
      <c r="B9" t="s">
        <v>16</v>
      </c>
      <c r="C9" s="5" t="s">
        <v>39</v>
      </c>
      <c r="D9" s="5" t="s">
        <v>45</v>
      </c>
      <c r="E9">
        <v>2518</v>
      </c>
      <c r="F9" s="1">
        <v>5</v>
      </c>
      <c r="G9" s="1">
        <v>12</v>
      </c>
      <c r="H9" s="1">
        <v>30216</v>
      </c>
      <c r="I9" s="1">
        <v>0</v>
      </c>
      <c r="J9" s="1">
        <v>30216</v>
      </c>
      <c r="K9" s="1">
        <v>7554</v>
      </c>
      <c r="L9" s="1">
        <v>22662</v>
      </c>
      <c r="M9" s="6">
        <v>41791</v>
      </c>
      <c r="N9" s="8">
        <v>6</v>
      </c>
      <c r="O9" s="5" t="s">
        <v>26</v>
      </c>
      <c r="P9" s="7" t="s">
        <v>15</v>
      </c>
      <c r="Q9" s="5">
        <f t="shared" si="0"/>
        <v>118726350.25999992</v>
      </c>
    </row>
    <row r="10" spans="1:17" x14ac:dyDescent="0.3">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c r="Q10" s="5">
        <f t="shared" si="0"/>
        <v>118726350.25999992</v>
      </c>
    </row>
    <row r="11" spans="1:17" x14ac:dyDescent="0.3">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c r="Q11" s="5">
        <f t="shared" si="0"/>
        <v>118726350.25999992</v>
      </c>
    </row>
    <row r="12" spans="1:17" x14ac:dyDescent="0.3">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c r="Q12" s="5">
        <f t="shared" si="0"/>
        <v>118726350.25999992</v>
      </c>
    </row>
    <row r="13" spans="1:17" x14ac:dyDescent="0.3">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c r="Q13" s="5">
        <f t="shared" si="0"/>
        <v>118726350.25999992</v>
      </c>
    </row>
    <row r="14" spans="1:17" x14ac:dyDescent="0.3">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c r="Q14" s="5">
        <f t="shared" si="0"/>
        <v>118726350.25999992</v>
      </c>
    </row>
    <row r="15" spans="1:17" x14ac:dyDescent="0.3">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c r="Q15" s="5">
        <f t="shared" si="0"/>
        <v>118726350.25999992</v>
      </c>
    </row>
    <row r="16" spans="1:17" x14ac:dyDescent="0.3">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c r="Q16" s="5">
        <f t="shared" si="0"/>
        <v>118726350.25999992</v>
      </c>
    </row>
    <row r="17" spans="1:17" x14ac:dyDescent="0.3">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c r="Q17" s="5">
        <f t="shared" si="0"/>
        <v>118726350.25999992</v>
      </c>
    </row>
    <row r="18" spans="1:17" x14ac:dyDescent="0.3">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c r="Q18" s="5">
        <f t="shared" si="0"/>
        <v>118726350.25999992</v>
      </c>
    </row>
    <row r="19" spans="1:17" x14ac:dyDescent="0.3">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c r="Q19" s="5">
        <f t="shared" si="0"/>
        <v>118726350.25999992</v>
      </c>
    </row>
    <row r="20" spans="1:17" x14ac:dyDescent="0.3">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c r="Q20" s="5">
        <f t="shared" si="0"/>
        <v>118726350.25999992</v>
      </c>
    </row>
    <row r="21" spans="1:17" x14ac:dyDescent="0.3">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c r="Q21" s="5">
        <f t="shared" si="0"/>
        <v>118726350.25999992</v>
      </c>
    </row>
    <row r="22" spans="1:17" x14ac:dyDescent="0.3">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c r="Q22" s="5">
        <f t="shared" si="0"/>
        <v>118726350.25999992</v>
      </c>
    </row>
    <row r="23" spans="1:17" x14ac:dyDescent="0.3">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c r="Q23" s="5">
        <f t="shared" si="0"/>
        <v>118726350.25999992</v>
      </c>
    </row>
    <row r="24" spans="1:17" x14ac:dyDescent="0.3">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c r="Q24" s="5">
        <f t="shared" si="0"/>
        <v>118726350.25999992</v>
      </c>
    </row>
    <row r="25" spans="1:17" x14ac:dyDescent="0.3">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c r="Q25" s="5">
        <f t="shared" si="0"/>
        <v>118726350.25999992</v>
      </c>
    </row>
    <row r="26" spans="1:17" x14ac:dyDescent="0.3">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c r="Q26" s="5">
        <f t="shared" si="0"/>
        <v>118726350.25999992</v>
      </c>
    </row>
    <row r="27" spans="1:17" x14ac:dyDescent="0.3">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c r="Q27" s="5">
        <f t="shared" si="0"/>
        <v>118726350.25999992</v>
      </c>
    </row>
    <row r="28" spans="1:17" x14ac:dyDescent="0.3">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c r="Q28" s="5">
        <f t="shared" si="0"/>
        <v>118726350.25999992</v>
      </c>
    </row>
    <row r="29" spans="1:17" x14ac:dyDescent="0.3">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c r="Q29" s="5">
        <f t="shared" si="0"/>
        <v>118726350.25999992</v>
      </c>
    </row>
    <row r="30" spans="1:17" x14ac:dyDescent="0.3">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c r="Q30" s="5">
        <f t="shared" si="0"/>
        <v>118726350.25999992</v>
      </c>
    </row>
    <row r="31" spans="1:17" x14ac:dyDescent="0.3">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c r="Q31" s="5">
        <f t="shared" si="0"/>
        <v>118726350.25999992</v>
      </c>
    </row>
    <row r="32" spans="1:17" x14ac:dyDescent="0.3">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c r="Q32" s="5">
        <f t="shared" si="0"/>
        <v>118726350.25999992</v>
      </c>
    </row>
    <row r="33" spans="1:17" x14ac:dyDescent="0.3">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c r="Q33" s="5">
        <f t="shared" si="0"/>
        <v>118726350.25999992</v>
      </c>
    </row>
    <row r="34" spans="1:17" x14ac:dyDescent="0.3">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c r="Q34" s="5">
        <f t="shared" si="0"/>
        <v>118726350.25999992</v>
      </c>
    </row>
    <row r="35" spans="1:17" x14ac:dyDescent="0.3">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c r="Q35" s="5">
        <f t="shared" si="0"/>
        <v>118726350.25999992</v>
      </c>
    </row>
    <row r="36" spans="1:17" x14ac:dyDescent="0.3">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c r="Q36" s="5">
        <f t="shared" si="0"/>
        <v>118726350.25999992</v>
      </c>
    </row>
    <row r="37" spans="1:17" x14ac:dyDescent="0.3">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c r="Q37" s="5">
        <f t="shared" si="0"/>
        <v>118726350.25999992</v>
      </c>
    </row>
    <row r="38" spans="1:17" x14ac:dyDescent="0.3">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c r="Q38" s="5">
        <f t="shared" si="0"/>
        <v>118726350.25999992</v>
      </c>
    </row>
    <row r="39" spans="1:17" x14ac:dyDescent="0.3">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c r="Q39" s="5">
        <f t="shared" si="0"/>
        <v>118726350.25999992</v>
      </c>
    </row>
    <row r="40" spans="1:17" x14ac:dyDescent="0.3">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c r="Q40" s="5">
        <f t="shared" si="0"/>
        <v>118726350.25999992</v>
      </c>
    </row>
    <row r="41" spans="1:17" x14ac:dyDescent="0.3">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c r="Q41" s="5">
        <f t="shared" si="0"/>
        <v>118726350.25999992</v>
      </c>
    </row>
    <row r="42" spans="1:17" x14ac:dyDescent="0.3">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c r="Q42" s="5">
        <f t="shared" si="0"/>
        <v>118726350.25999992</v>
      </c>
    </row>
    <row r="43" spans="1:17" x14ac:dyDescent="0.3">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c r="Q43" s="5">
        <f t="shared" si="0"/>
        <v>118726350.25999992</v>
      </c>
    </row>
    <row r="44" spans="1:17" x14ac:dyDescent="0.3">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c r="Q44" s="5">
        <f t="shared" si="0"/>
        <v>118726350.25999992</v>
      </c>
    </row>
    <row r="45" spans="1:17" x14ac:dyDescent="0.3">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c r="Q45" s="5">
        <f t="shared" si="0"/>
        <v>118726350.25999992</v>
      </c>
    </row>
    <row r="46" spans="1:17" x14ac:dyDescent="0.3">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c r="Q46" s="5">
        <f t="shared" si="0"/>
        <v>118726350.25999992</v>
      </c>
    </row>
    <row r="47" spans="1:17" x14ac:dyDescent="0.3">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c r="Q47" s="5">
        <f t="shared" si="0"/>
        <v>118726350.25999992</v>
      </c>
    </row>
    <row r="48" spans="1:17" x14ac:dyDescent="0.3">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c r="Q48" s="5">
        <f t="shared" si="0"/>
        <v>118726350.25999992</v>
      </c>
    </row>
    <row r="49" spans="1:17" x14ac:dyDescent="0.3">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c r="Q49" s="5">
        <f t="shared" si="0"/>
        <v>118726350.25999992</v>
      </c>
    </row>
    <row r="50" spans="1:17" x14ac:dyDescent="0.3">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c r="Q50" s="5">
        <f t="shared" si="0"/>
        <v>118726350.25999992</v>
      </c>
    </row>
    <row r="51" spans="1:17" x14ac:dyDescent="0.3">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c r="Q51" s="5">
        <f t="shared" si="0"/>
        <v>118726350.25999992</v>
      </c>
    </row>
    <row r="52" spans="1:17" x14ac:dyDescent="0.3">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c r="Q52" s="5">
        <f t="shared" si="0"/>
        <v>118726350.25999992</v>
      </c>
    </row>
    <row r="53" spans="1:17" x14ac:dyDescent="0.3">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c r="Q53" s="5">
        <f t="shared" si="0"/>
        <v>118726350.25999992</v>
      </c>
    </row>
    <row r="54" spans="1:17" x14ac:dyDescent="0.3">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c r="Q54" s="5">
        <f t="shared" si="0"/>
        <v>118726350.25999992</v>
      </c>
    </row>
    <row r="55" spans="1:17" x14ac:dyDescent="0.3">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c r="Q55" s="5">
        <f t="shared" si="0"/>
        <v>118726350.25999992</v>
      </c>
    </row>
    <row r="56" spans="1:17" x14ac:dyDescent="0.3">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c r="Q56" s="5">
        <f t="shared" si="0"/>
        <v>118726350.25999992</v>
      </c>
    </row>
    <row r="57" spans="1:17" x14ac:dyDescent="0.3">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c r="Q57" s="5">
        <f t="shared" si="0"/>
        <v>118726350.25999992</v>
      </c>
    </row>
    <row r="58" spans="1:17" x14ac:dyDescent="0.3">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c r="Q58" s="5">
        <f t="shared" si="0"/>
        <v>118726350.25999992</v>
      </c>
    </row>
    <row r="59" spans="1:17" x14ac:dyDescent="0.3">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c r="Q59" s="5">
        <f t="shared" si="0"/>
        <v>118726350.25999992</v>
      </c>
    </row>
    <row r="60" spans="1:17" x14ac:dyDescent="0.3">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c r="Q60" s="5">
        <f t="shared" si="0"/>
        <v>118726350.25999992</v>
      </c>
    </row>
    <row r="61" spans="1:17" x14ac:dyDescent="0.3">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c r="Q61" s="5">
        <f t="shared" si="0"/>
        <v>118726350.25999992</v>
      </c>
    </row>
    <row r="62" spans="1:17" x14ac:dyDescent="0.3">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c r="Q62" s="5">
        <f t="shared" si="0"/>
        <v>118726350.25999992</v>
      </c>
    </row>
    <row r="63" spans="1:17" x14ac:dyDescent="0.3">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c r="Q63" s="5">
        <f t="shared" si="0"/>
        <v>118726350.25999992</v>
      </c>
    </row>
    <row r="64" spans="1:17" x14ac:dyDescent="0.3">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c r="Q64" s="5">
        <f t="shared" si="0"/>
        <v>118726350.25999992</v>
      </c>
    </row>
    <row r="65" spans="1:17" x14ac:dyDescent="0.3">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c r="Q65" s="5">
        <f t="shared" si="0"/>
        <v>118726350.25999992</v>
      </c>
    </row>
    <row r="66" spans="1:17" x14ac:dyDescent="0.3">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c r="Q66" s="5">
        <f t="shared" ref="Q66:Q129" si="1">SUM(J:J)</f>
        <v>118726350.25999992</v>
      </c>
    </row>
    <row r="67" spans="1:17" x14ac:dyDescent="0.3">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c r="Q67" s="5">
        <f t="shared" si="1"/>
        <v>118726350.25999992</v>
      </c>
    </row>
    <row r="68" spans="1:17" x14ac:dyDescent="0.3">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c r="Q68" s="5">
        <f t="shared" si="1"/>
        <v>118726350.25999992</v>
      </c>
    </row>
    <row r="69" spans="1:17" x14ac:dyDescent="0.3">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c r="Q69" s="5">
        <f t="shared" si="1"/>
        <v>118726350.25999992</v>
      </c>
    </row>
    <row r="70" spans="1:17" x14ac:dyDescent="0.3">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c r="Q70" s="5">
        <f t="shared" si="1"/>
        <v>118726350.25999992</v>
      </c>
    </row>
    <row r="71" spans="1:17" x14ac:dyDescent="0.3">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c r="Q71" s="5">
        <f t="shared" si="1"/>
        <v>118726350.25999992</v>
      </c>
    </row>
    <row r="72" spans="1:17" x14ac:dyDescent="0.3">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c r="Q72" s="5">
        <f t="shared" si="1"/>
        <v>118726350.25999992</v>
      </c>
    </row>
    <row r="73" spans="1:17" x14ac:dyDescent="0.3">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c r="Q73" s="5">
        <f t="shared" si="1"/>
        <v>118726350.25999992</v>
      </c>
    </row>
    <row r="74" spans="1:17" x14ac:dyDescent="0.3">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c r="Q74" s="5">
        <f t="shared" si="1"/>
        <v>118726350.25999992</v>
      </c>
    </row>
    <row r="75" spans="1:17" x14ac:dyDescent="0.3">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c r="Q75" s="5">
        <f t="shared" si="1"/>
        <v>118726350.25999992</v>
      </c>
    </row>
    <row r="76" spans="1:17" x14ac:dyDescent="0.3">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c r="Q76" s="5">
        <f t="shared" si="1"/>
        <v>118726350.25999992</v>
      </c>
    </row>
    <row r="77" spans="1:17" x14ac:dyDescent="0.3">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c r="Q77" s="5">
        <f t="shared" si="1"/>
        <v>118726350.25999992</v>
      </c>
    </row>
    <row r="78" spans="1:17" x14ac:dyDescent="0.3">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c r="Q78" s="5">
        <f t="shared" si="1"/>
        <v>118726350.25999992</v>
      </c>
    </row>
    <row r="79" spans="1:17" x14ac:dyDescent="0.3">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c r="Q79" s="5">
        <f t="shared" si="1"/>
        <v>118726350.25999992</v>
      </c>
    </row>
    <row r="80" spans="1:17" x14ac:dyDescent="0.3">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c r="Q80" s="5">
        <f t="shared" si="1"/>
        <v>118726350.25999992</v>
      </c>
    </row>
    <row r="81" spans="1:17" x14ac:dyDescent="0.3">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c r="Q81" s="5">
        <f t="shared" si="1"/>
        <v>118726350.25999992</v>
      </c>
    </row>
    <row r="82" spans="1:17" x14ac:dyDescent="0.3">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c r="Q82" s="5">
        <f t="shared" si="1"/>
        <v>118726350.25999992</v>
      </c>
    </row>
    <row r="83" spans="1:17" x14ac:dyDescent="0.3">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c r="Q83" s="5">
        <f t="shared" si="1"/>
        <v>118726350.25999992</v>
      </c>
    </row>
    <row r="84" spans="1:17" x14ac:dyDescent="0.3">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c r="Q84" s="5">
        <f t="shared" si="1"/>
        <v>118726350.25999992</v>
      </c>
    </row>
    <row r="85" spans="1:17" x14ac:dyDescent="0.3">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c r="Q85" s="5">
        <f t="shared" si="1"/>
        <v>118726350.25999992</v>
      </c>
    </row>
    <row r="86" spans="1:17" x14ac:dyDescent="0.3">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c r="Q86" s="5">
        <f t="shared" si="1"/>
        <v>118726350.25999992</v>
      </c>
    </row>
    <row r="87" spans="1:17" x14ac:dyDescent="0.3">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c r="Q87" s="5">
        <f t="shared" si="1"/>
        <v>118726350.25999992</v>
      </c>
    </row>
    <row r="88" spans="1:17" x14ac:dyDescent="0.3">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c r="Q88" s="5">
        <f t="shared" si="1"/>
        <v>118726350.25999992</v>
      </c>
    </row>
    <row r="89" spans="1:17" x14ac:dyDescent="0.3">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c r="Q89" s="5">
        <f t="shared" si="1"/>
        <v>118726350.25999992</v>
      </c>
    </row>
    <row r="90" spans="1:17" x14ac:dyDescent="0.3">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c r="Q90" s="5">
        <f t="shared" si="1"/>
        <v>118726350.25999992</v>
      </c>
    </row>
    <row r="91" spans="1:17" x14ac:dyDescent="0.3">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c r="Q91" s="5">
        <f t="shared" si="1"/>
        <v>118726350.25999992</v>
      </c>
    </row>
    <row r="92" spans="1:17" x14ac:dyDescent="0.3">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c r="Q92" s="5">
        <f t="shared" si="1"/>
        <v>118726350.25999992</v>
      </c>
    </row>
    <row r="93" spans="1:17" x14ac:dyDescent="0.3">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c r="Q93" s="5">
        <f t="shared" si="1"/>
        <v>118726350.25999992</v>
      </c>
    </row>
    <row r="94" spans="1:17" x14ac:dyDescent="0.3">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c r="Q94" s="5">
        <f t="shared" si="1"/>
        <v>118726350.25999992</v>
      </c>
    </row>
    <row r="95" spans="1:17" x14ac:dyDescent="0.3">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c r="Q95" s="5">
        <f t="shared" si="1"/>
        <v>118726350.25999992</v>
      </c>
    </row>
    <row r="96" spans="1:17" x14ac:dyDescent="0.3">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c r="Q96" s="5">
        <f t="shared" si="1"/>
        <v>118726350.25999992</v>
      </c>
    </row>
    <row r="97" spans="1:17" x14ac:dyDescent="0.3">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c r="Q97" s="5">
        <f t="shared" si="1"/>
        <v>118726350.25999992</v>
      </c>
    </row>
    <row r="98" spans="1:17" x14ac:dyDescent="0.3">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c r="Q98" s="5">
        <f t="shared" si="1"/>
        <v>118726350.25999992</v>
      </c>
    </row>
    <row r="99" spans="1:17" x14ac:dyDescent="0.3">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c r="Q99" s="5">
        <f t="shared" si="1"/>
        <v>118726350.25999992</v>
      </c>
    </row>
    <row r="100" spans="1:17" x14ac:dyDescent="0.3">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c r="Q100" s="5">
        <f t="shared" si="1"/>
        <v>118726350.25999992</v>
      </c>
    </row>
    <row r="101" spans="1:17" x14ac:dyDescent="0.3">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c r="Q101" s="5">
        <f t="shared" si="1"/>
        <v>118726350.25999992</v>
      </c>
    </row>
    <row r="102" spans="1:17" x14ac:dyDescent="0.3">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c r="Q102" s="5">
        <f t="shared" si="1"/>
        <v>118726350.25999992</v>
      </c>
    </row>
    <row r="103" spans="1:17" x14ac:dyDescent="0.3">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c r="Q103" s="5">
        <f t="shared" si="1"/>
        <v>118726350.25999992</v>
      </c>
    </row>
    <row r="104" spans="1:17" x14ac:dyDescent="0.3">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c r="Q104" s="5">
        <f t="shared" si="1"/>
        <v>118726350.25999992</v>
      </c>
    </row>
    <row r="105" spans="1:17" x14ac:dyDescent="0.3">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c r="Q105" s="5">
        <f t="shared" si="1"/>
        <v>118726350.25999992</v>
      </c>
    </row>
    <row r="106" spans="1:17" x14ac:dyDescent="0.3">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c r="Q106" s="5">
        <f t="shared" si="1"/>
        <v>118726350.25999992</v>
      </c>
    </row>
    <row r="107" spans="1:17" x14ac:dyDescent="0.3">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c r="Q107" s="5">
        <f t="shared" si="1"/>
        <v>118726350.25999992</v>
      </c>
    </row>
    <row r="108" spans="1:17" x14ac:dyDescent="0.3">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c r="Q108" s="5">
        <f t="shared" si="1"/>
        <v>118726350.25999992</v>
      </c>
    </row>
    <row r="109" spans="1:17" x14ac:dyDescent="0.3">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c r="Q109" s="5">
        <f t="shared" si="1"/>
        <v>118726350.25999992</v>
      </c>
    </row>
    <row r="110" spans="1:17" x14ac:dyDescent="0.3">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c r="Q110" s="5">
        <f t="shared" si="1"/>
        <v>118726350.25999992</v>
      </c>
    </row>
    <row r="111" spans="1:17" x14ac:dyDescent="0.3">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c r="Q111" s="5">
        <f t="shared" si="1"/>
        <v>118726350.25999992</v>
      </c>
    </row>
    <row r="112" spans="1:17" x14ac:dyDescent="0.3">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c r="Q112" s="5">
        <f t="shared" si="1"/>
        <v>118726350.25999992</v>
      </c>
    </row>
    <row r="113" spans="1:17" x14ac:dyDescent="0.3">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c r="Q113" s="5">
        <f t="shared" si="1"/>
        <v>118726350.25999992</v>
      </c>
    </row>
    <row r="114" spans="1:17" x14ac:dyDescent="0.3">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c r="Q114" s="5">
        <f t="shared" si="1"/>
        <v>118726350.25999992</v>
      </c>
    </row>
    <row r="115" spans="1:17" x14ac:dyDescent="0.3">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c r="Q115" s="5">
        <f t="shared" si="1"/>
        <v>118726350.25999992</v>
      </c>
    </row>
    <row r="116" spans="1:17" x14ac:dyDescent="0.3">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c r="Q116" s="5">
        <f t="shared" si="1"/>
        <v>118726350.25999992</v>
      </c>
    </row>
    <row r="117" spans="1:17" x14ac:dyDescent="0.3">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c r="Q117" s="5">
        <f t="shared" si="1"/>
        <v>118726350.25999992</v>
      </c>
    </row>
    <row r="118" spans="1:17" x14ac:dyDescent="0.3">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c r="Q118" s="5">
        <f t="shared" si="1"/>
        <v>118726350.25999992</v>
      </c>
    </row>
    <row r="119" spans="1:17" x14ac:dyDescent="0.3">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c r="Q119" s="5">
        <f t="shared" si="1"/>
        <v>118726350.25999992</v>
      </c>
    </row>
    <row r="120" spans="1:17" x14ac:dyDescent="0.3">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c r="Q120" s="5">
        <f t="shared" si="1"/>
        <v>118726350.25999992</v>
      </c>
    </row>
    <row r="121" spans="1:17" x14ac:dyDescent="0.3">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c r="Q121" s="5">
        <f t="shared" si="1"/>
        <v>118726350.25999992</v>
      </c>
    </row>
    <row r="122" spans="1:17" x14ac:dyDescent="0.3">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c r="Q122" s="5">
        <f t="shared" si="1"/>
        <v>118726350.25999992</v>
      </c>
    </row>
    <row r="123" spans="1:17" x14ac:dyDescent="0.3">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c r="Q123" s="5">
        <f t="shared" si="1"/>
        <v>118726350.25999992</v>
      </c>
    </row>
    <row r="124" spans="1:17" x14ac:dyDescent="0.3">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c r="Q124" s="5">
        <f t="shared" si="1"/>
        <v>118726350.25999992</v>
      </c>
    </row>
    <row r="125" spans="1:17" x14ac:dyDescent="0.3">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c r="Q125" s="5">
        <f t="shared" si="1"/>
        <v>118726350.25999992</v>
      </c>
    </row>
    <row r="126" spans="1:17" x14ac:dyDescent="0.3">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c r="Q126" s="5">
        <f t="shared" si="1"/>
        <v>118726350.25999992</v>
      </c>
    </row>
    <row r="127" spans="1:17" x14ac:dyDescent="0.3">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c r="Q127" s="5">
        <f t="shared" si="1"/>
        <v>118726350.25999992</v>
      </c>
    </row>
    <row r="128" spans="1:17" x14ac:dyDescent="0.3">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c r="Q128" s="5">
        <f t="shared" si="1"/>
        <v>118726350.25999992</v>
      </c>
    </row>
    <row r="129" spans="1:17" x14ac:dyDescent="0.3">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c r="Q129" s="5">
        <f t="shared" si="1"/>
        <v>118726350.25999992</v>
      </c>
    </row>
    <row r="130" spans="1:17" x14ac:dyDescent="0.3">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c r="Q130" s="5">
        <f t="shared" ref="Q130:Q193" si="2">SUM(J:J)</f>
        <v>118726350.25999992</v>
      </c>
    </row>
    <row r="131" spans="1:17" x14ac:dyDescent="0.3">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c r="Q131" s="5">
        <f t="shared" si="2"/>
        <v>118726350.25999992</v>
      </c>
    </row>
    <row r="132" spans="1:17" x14ac:dyDescent="0.3">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c r="Q132" s="5">
        <f t="shared" si="2"/>
        <v>118726350.25999992</v>
      </c>
    </row>
    <row r="133" spans="1:17" x14ac:dyDescent="0.3">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c r="Q133" s="5">
        <f t="shared" si="2"/>
        <v>118726350.25999992</v>
      </c>
    </row>
    <row r="134" spans="1:17" x14ac:dyDescent="0.3">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c r="Q134" s="5">
        <f t="shared" si="2"/>
        <v>118726350.25999992</v>
      </c>
    </row>
    <row r="135" spans="1:17" x14ac:dyDescent="0.3">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c r="Q135" s="5">
        <f t="shared" si="2"/>
        <v>118726350.25999992</v>
      </c>
    </row>
    <row r="136" spans="1:17" x14ac:dyDescent="0.3">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c r="Q136" s="5">
        <f t="shared" si="2"/>
        <v>118726350.25999992</v>
      </c>
    </row>
    <row r="137" spans="1:17" x14ac:dyDescent="0.3">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c r="Q137" s="5">
        <f t="shared" si="2"/>
        <v>118726350.25999992</v>
      </c>
    </row>
    <row r="138" spans="1:17" x14ac:dyDescent="0.3">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c r="Q138" s="5">
        <f t="shared" si="2"/>
        <v>118726350.25999992</v>
      </c>
    </row>
    <row r="139" spans="1:17" x14ac:dyDescent="0.3">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c r="Q139" s="5">
        <f t="shared" si="2"/>
        <v>118726350.25999992</v>
      </c>
    </row>
    <row r="140" spans="1:17" x14ac:dyDescent="0.3">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c r="Q140" s="5">
        <f t="shared" si="2"/>
        <v>118726350.25999992</v>
      </c>
    </row>
    <row r="141" spans="1:17" x14ac:dyDescent="0.3">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c r="Q141" s="5">
        <f t="shared" si="2"/>
        <v>118726350.25999992</v>
      </c>
    </row>
    <row r="142" spans="1:17" x14ac:dyDescent="0.3">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c r="Q142" s="5">
        <f t="shared" si="2"/>
        <v>118726350.25999992</v>
      </c>
    </row>
    <row r="143" spans="1:17" x14ac:dyDescent="0.3">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c r="Q143" s="5">
        <f t="shared" si="2"/>
        <v>118726350.25999992</v>
      </c>
    </row>
    <row r="144" spans="1:17" x14ac:dyDescent="0.3">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c r="Q144" s="5">
        <f t="shared" si="2"/>
        <v>118726350.25999992</v>
      </c>
    </row>
    <row r="145" spans="1:17" x14ac:dyDescent="0.3">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c r="Q145" s="5">
        <f t="shared" si="2"/>
        <v>118726350.25999992</v>
      </c>
    </row>
    <row r="146" spans="1:17" x14ac:dyDescent="0.3">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c r="Q146" s="5">
        <f t="shared" si="2"/>
        <v>118726350.25999992</v>
      </c>
    </row>
    <row r="147" spans="1:17" x14ac:dyDescent="0.3">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c r="Q147" s="5">
        <f t="shared" si="2"/>
        <v>118726350.25999992</v>
      </c>
    </row>
    <row r="148" spans="1:17" x14ac:dyDescent="0.3">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c r="Q148" s="5">
        <f t="shared" si="2"/>
        <v>118726350.25999992</v>
      </c>
    </row>
    <row r="149" spans="1:17" x14ac:dyDescent="0.3">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c r="Q149" s="5">
        <f t="shared" si="2"/>
        <v>118726350.25999992</v>
      </c>
    </row>
    <row r="150" spans="1:17" x14ac:dyDescent="0.3">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c r="Q150" s="5">
        <f t="shared" si="2"/>
        <v>118726350.25999992</v>
      </c>
    </row>
    <row r="151" spans="1:17" x14ac:dyDescent="0.3">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c r="Q151" s="5">
        <f t="shared" si="2"/>
        <v>118726350.25999992</v>
      </c>
    </row>
    <row r="152" spans="1:17" x14ac:dyDescent="0.3">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c r="Q152" s="5">
        <f t="shared" si="2"/>
        <v>118726350.25999992</v>
      </c>
    </row>
    <row r="153" spans="1:17" x14ac:dyDescent="0.3">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c r="Q153" s="5">
        <f t="shared" si="2"/>
        <v>118726350.25999992</v>
      </c>
    </row>
    <row r="154" spans="1:17" x14ac:dyDescent="0.3">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c r="Q154" s="5">
        <f t="shared" si="2"/>
        <v>118726350.25999992</v>
      </c>
    </row>
    <row r="155" spans="1:17" x14ac:dyDescent="0.3">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c r="Q155" s="5">
        <f t="shared" si="2"/>
        <v>118726350.25999992</v>
      </c>
    </row>
    <row r="156" spans="1:17" x14ac:dyDescent="0.3">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c r="Q156" s="5">
        <f t="shared" si="2"/>
        <v>118726350.25999992</v>
      </c>
    </row>
    <row r="157" spans="1:17" x14ac:dyDescent="0.3">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c r="Q157" s="5">
        <f t="shared" si="2"/>
        <v>118726350.25999992</v>
      </c>
    </row>
    <row r="158" spans="1:17" x14ac:dyDescent="0.3">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c r="Q158" s="5">
        <f t="shared" si="2"/>
        <v>118726350.25999992</v>
      </c>
    </row>
    <row r="159" spans="1:17" x14ac:dyDescent="0.3">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c r="Q159" s="5">
        <f t="shared" si="2"/>
        <v>118726350.25999992</v>
      </c>
    </row>
    <row r="160" spans="1:17" x14ac:dyDescent="0.3">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c r="Q160" s="5">
        <f t="shared" si="2"/>
        <v>118726350.25999992</v>
      </c>
    </row>
    <row r="161" spans="1:17" x14ac:dyDescent="0.3">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c r="Q161" s="5">
        <f t="shared" si="2"/>
        <v>118726350.25999992</v>
      </c>
    </row>
    <row r="162" spans="1:17" x14ac:dyDescent="0.3">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c r="Q162" s="5">
        <f t="shared" si="2"/>
        <v>118726350.25999992</v>
      </c>
    </row>
    <row r="163" spans="1:17" x14ac:dyDescent="0.3">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c r="Q163" s="5">
        <f t="shared" si="2"/>
        <v>118726350.25999992</v>
      </c>
    </row>
    <row r="164" spans="1:17" x14ac:dyDescent="0.3">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c r="Q164" s="5">
        <f t="shared" si="2"/>
        <v>118726350.25999992</v>
      </c>
    </row>
    <row r="165" spans="1:17" x14ac:dyDescent="0.3">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c r="Q165" s="5">
        <f t="shared" si="2"/>
        <v>118726350.25999992</v>
      </c>
    </row>
    <row r="166" spans="1:17" x14ac:dyDescent="0.3">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c r="Q166" s="5">
        <f t="shared" si="2"/>
        <v>118726350.25999992</v>
      </c>
    </row>
    <row r="167" spans="1:17" x14ac:dyDescent="0.3">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c r="Q167" s="5">
        <f t="shared" si="2"/>
        <v>118726350.25999992</v>
      </c>
    </row>
    <row r="168" spans="1:17" x14ac:dyDescent="0.3">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c r="Q168" s="5">
        <f t="shared" si="2"/>
        <v>118726350.25999992</v>
      </c>
    </row>
    <row r="169" spans="1:17" x14ac:dyDescent="0.3">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c r="Q169" s="5">
        <f t="shared" si="2"/>
        <v>118726350.25999992</v>
      </c>
    </row>
    <row r="170" spans="1:17" x14ac:dyDescent="0.3">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c r="Q170" s="5">
        <f t="shared" si="2"/>
        <v>118726350.25999992</v>
      </c>
    </row>
    <row r="171" spans="1:17" x14ac:dyDescent="0.3">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c r="Q171" s="5">
        <f t="shared" si="2"/>
        <v>118726350.25999992</v>
      </c>
    </row>
    <row r="172" spans="1:17" x14ac:dyDescent="0.3">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c r="Q172" s="5">
        <f t="shared" si="2"/>
        <v>118726350.25999992</v>
      </c>
    </row>
    <row r="173" spans="1:17" x14ac:dyDescent="0.3">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c r="Q173" s="5">
        <f t="shared" si="2"/>
        <v>118726350.25999992</v>
      </c>
    </row>
    <row r="174" spans="1:17" x14ac:dyDescent="0.3">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c r="Q174" s="5">
        <f t="shared" si="2"/>
        <v>118726350.25999992</v>
      </c>
    </row>
    <row r="175" spans="1:17" x14ac:dyDescent="0.3">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c r="Q175" s="5">
        <f t="shared" si="2"/>
        <v>118726350.25999992</v>
      </c>
    </row>
    <row r="176" spans="1:17" x14ac:dyDescent="0.3">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c r="Q176" s="5">
        <f t="shared" si="2"/>
        <v>118726350.25999992</v>
      </c>
    </row>
    <row r="177" spans="1:17" x14ac:dyDescent="0.3">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c r="Q177" s="5">
        <f t="shared" si="2"/>
        <v>118726350.25999992</v>
      </c>
    </row>
    <row r="178" spans="1:17" x14ac:dyDescent="0.3">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c r="Q178" s="5">
        <f t="shared" si="2"/>
        <v>118726350.25999992</v>
      </c>
    </row>
    <row r="179" spans="1:17" x14ac:dyDescent="0.3">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c r="Q179" s="5">
        <f t="shared" si="2"/>
        <v>118726350.25999992</v>
      </c>
    </row>
    <row r="180" spans="1:17" x14ac:dyDescent="0.3">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c r="Q180" s="5">
        <f t="shared" si="2"/>
        <v>118726350.25999992</v>
      </c>
    </row>
    <row r="181" spans="1:17" x14ac:dyDescent="0.3">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c r="Q181" s="5">
        <f t="shared" si="2"/>
        <v>118726350.25999992</v>
      </c>
    </row>
    <row r="182" spans="1:17" x14ac:dyDescent="0.3">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c r="Q182" s="5">
        <f t="shared" si="2"/>
        <v>118726350.25999992</v>
      </c>
    </row>
    <row r="183" spans="1:17" x14ac:dyDescent="0.3">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c r="Q183" s="5">
        <f t="shared" si="2"/>
        <v>118726350.25999992</v>
      </c>
    </row>
    <row r="184" spans="1:17" x14ac:dyDescent="0.3">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c r="Q184" s="5">
        <f t="shared" si="2"/>
        <v>118726350.25999992</v>
      </c>
    </row>
    <row r="185" spans="1:17" x14ac:dyDescent="0.3">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c r="Q185" s="5">
        <f t="shared" si="2"/>
        <v>118726350.25999992</v>
      </c>
    </row>
    <row r="186" spans="1:17" x14ac:dyDescent="0.3">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c r="Q186" s="5">
        <f t="shared" si="2"/>
        <v>118726350.25999992</v>
      </c>
    </row>
    <row r="187" spans="1:17" x14ac:dyDescent="0.3">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c r="Q187" s="5">
        <f t="shared" si="2"/>
        <v>118726350.25999992</v>
      </c>
    </row>
    <row r="188" spans="1:17" x14ac:dyDescent="0.3">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c r="Q188" s="5">
        <f t="shared" si="2"/>
        <v>118726350.25999992</v>
      </c>
    </row>
    <row r="189" spans="1:17" x14ac:dyDescent="0.3">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c r="Q189" s="5">
        <f t="shared" si="2"/>
        <v>118726350.25999992</v>
      </c>
    </row>
    <row r="190" spans="1:17" x14ac:dyDescent="0.3">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c r="Q190" s="5">
        <f t="shared" si="2"/>
        <v>118726350.25999992</v>
      </c>
    </row>
    <row r="191" spans="1:17" x14ac:dyDescent="0.3">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c r="Q191" s="5">
        <f t="shared" si="2"/>
        <v>118726350.25999992</v>
      </c>
    </row>
    <row r="192" spans="1:17" x14ac:dyDescent="0.3">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c r="Q192" s="5">
        <f t="shared" si="2"/>
        <v>118726350.25999992</v>
      </c>
    </row>
    <row r="193" spans="1:17" x14ac:dyDescent="0.3">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c r="Q193" s="5">
        <f t="shared" si="2"/>
        <v>118726350.25999992</v>
      </c>
    </row>
    <row r="194" spans="1:17" x14ac:dyDescent="0.3">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c r="Q194" s="5">
        <f t="shared" ref="Q194:Q257" si="3">SUM(J:J)</f>
        <v>118726350.25999992</v>
      </c>
    </row>
    <row r="195" spans="1:17" x14ac:dyDescent="0.3">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c r="Q195" s="5">
        <f t="shared" si="3"/>
        <v>118726350.25999992</v>
      </c>
    </row>
    <row r="196" spans="1:17" x14ac:dyDescent="0.3">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c r="Q196" s="5">
        <f t="shared" si="3"/>
        <v>118726350.25999992</v>
      </c>
    </row>
    <row r="197" spans="1:17" x14ac:dyDescent="0.3">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c r="Q197" s="5">
        <f t="shared" si="3"/>
        <v>118726350.25999992</v>
      </c>
    </row>
    <row r="198" spans="1:17" x14ac:dyDescent="0.3">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c r="Q198" s="5">
        <f t="shared" si="3"/>
        <v>118726350.25999992</v>
      </c>
    </row>
    <row r="199" spans="1:17" x14ac:dyDescent="0.3">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c r="Q199" s="5">
        <f t="shared" si="3"/>
        <v>118726350.25999992</v>
      </c>
    </row>
    <row r="200" spans="1:17" x14ac:dyDescent="0.3">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c r="Q200" s="5">
        <f t="shared" si="3"/>
        <v>118726350.25999992</v>
      </c>
    </row>
    <row r="201" spans="1:17" x14ac:dyDescent="0.3">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c r="Q201" s="5">
        <f t="shared" si="3"/>
        <v>118726350.25999992</v>
      </c>
    </row>
    <row r="202" spans="1:17" x14ac:dyDescent="0.3">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c r="Q202" s="5">
        <f t="shared" si="3"/>
        <v>118726350.25999992</v>
      </c>
    </row>
    <row r="203" spans="1:17" x14ac:dyDescent="0.3">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c r="Q203" s="5">
        <f t="shared" si="3"/>
        <v>118726350.25999992</v>
      </c>
    </row>
    <row r="204" spans="1:17" x14ac:dyDescent="0.3">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c r="Q204" s="5">
        <f t="shared" si="3"/>
        <v>118726350.25999992</v>
      </c>
    </row>
    <row r="205" spans="1:17" x14ac:dyDescent="0.3">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c r="Q205" s="5">
        <f t="shared" si="3"/>
        <v>118726350.25999992</v>
      </c>
    </row>
    <row r="206" spans="1:17" x14ac:dyDescent="0.3">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c r="Q206" s="5">
        <f t="shared" si="3"/>
        <v>118726350.25999992</v>
      </c>
    </row>
    <row r="207" spans="1:17" x14ac:dyDescent="0.3">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c r="Q207" s="5">
        <f t="shared" si="3"/>
        <v>118726350.25999992</v>
      </c>
    </row>
    <row r="208" spans="1:17" x14ac:dyDescent="0.3">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c r="Q208" s="5">
        <f t="shared" si="3"/>
        <v>118726350.25999992</v>
      </c>
    </row>
    <row r="209" spans="1:17" x14ac:dyDescent="0.3">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c r="Q209" s="5">
        <f t="shared" si="3"/>
        <v>118726350.25999992</v>
      </c>
    </row>
    <row r="210" spans="1:17" x14ac:dyDescent="0.3">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c r="Q210" s="5">
        <f t="shared" si="3"/>
        <v>118726350.25999992</v>
      </c>
    </row>
    <row r="211" spans="1:17" x14ac:dyDescent="0.3">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c r="Q211" s="5">
        <f t="shared" si="3"/>
        <v>118726350.25999992</v>
      </c>
    </row>
    <row r="212" spans="1:17" x14ac:dyDescent="0.3">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c r="Q212" s="5">
        <f t="shared" si="3"/>
        <v>118726350.25999992</v>
      </c>
    </row>
    <row r="213" spans="1:17" x14ac:dyDescent="0.3">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c r="Q213" s="5">
        <f t="shared" si="3"/>
        <v>118726350.25999992</v>
      </c>
    </row>
    <row r="214" spans="1:17" x14ac:dyDescent="0.3">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c r="Q214" s="5">
        <f t="shared" si="3"/>
        <v>118726350.25999992</v>
      </c>
    </row>
    <row r="215" spans="1:17" x14ac:dyDescent="0.3">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c r="Q215" s="5">
        <f t="shared" si="3"/>
        <v>118726350.25999992</v>
      </c>
    </row>
    <row r="216" spans="1:17" x14ac:dyDescent="0.3">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c r="Q216" s="5">
        <f t="shared" si="3"/>
        <v>118726350.25999992</v>
      </c>
    </row>
    <row r="217" spans="1:17" x14ac:dyDescent="0.3">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c r="Q217" s="5">
        <f t="shared" si="3"/>
        <v>118726350.25999992</v>
      </c>
    </row>
    <row r="218" spans="1:17" x14ac:dyDescent="0.3">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c r="Q218" s="5">
        <f t="shared" si="3"/>
        <v>118726350.25999992</v>
      </c>
    </row>
    <row r="219" spans="1:17" x14ac:dyDescent="0.3">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c r="Q219" s="5">
        <f t="shared" si="3"/>
        <v>118726350.25999992</v>
      </c>
    </row>
    <row r="220" spans="1:17" x14ac:dyDescent="0.3">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c r="Q220" s="5">
        <f t="shared" si="3"/>
        <v>118726350.25999992</v>
      </c>
    </row>
    <row r="221" spans="1:17" x14ac:dyDescent="0.3">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c r="Q221" s="5">
        <f t="shared" si="3"/>
        <v>118726350.25999992</v>
      </c>
    </row>
    <row r="222" spans="1:17" x14ac:dyDescent="0.3">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c r="Q222" s="5">
        <f t="shared" si="3"/>
        <v>118726350.25999992</v>
      </c>
    </row>
    <row r="223" spans="1:17" x14ac:dyDescent="0.3">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c r="Q223" s="5">
        <f t="shared" si="3"/>
        <v>118726350.25999992</v>
      </c>
    </row>
    <row r="224" spans="1:17" x14ac:dyDescent="0.3">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c r="Q224" s="5">
        <f t="shared" si="3"/>
        <v>118726350.25999992</v>
      </c>
    </row>
    <row r="225" spans="1:17" x14ac:dyDescent="0.3">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c r="Q225" s="5">
        <f t="shared" si="3"/>
        <v>118726350.25999992</v>
      </c>
    </row>
    <row r="226" spans="1:17" x14ac:dyDescent="0.3">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c r="Q226" s="5">
        <f t="shared" si="3"/>
        <v>118726350.25999992</v>
      </c>
    </row>
    <row r="227" spans="1:17" x14ac:dyDescent="0.3">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c r="Q227" s="5">
        <f t="shared" si="3"/>
        <v>118726350.25999992</v>
      </c>
    </row>
    <row r="228" spans="1:17" x14ac:dyDescent="0.3">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c r="Q228" s="5">
        <f t="shared" si="3"/>
        <v>118726350.25999992</v>
      </c>
    </row>
    <row r="229" spans="1:17" x14ac:dyDescent="0.3">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c r="Q229" s="5">
        <f t="shared" si="3"/>
        <v>118726350.25999992</v>
      </c>
    </row>
    <row r="230" spans="1:17" x14ac:dyDescent="0.3">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c r="Q230" s="5">
        <f t="shared" si="3"/>
        <v>118726350.25999992</v>
      </c>
    </row>
    <row r="231" spans="1:17" x14ac:dyDescent="0.3">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c r="Q231" s="5">
        <f t="shared" si="3"/>
        <v>118726350.25999992</v>
      </c>
    </row>
    <row r="232" spans="1:17" x14ac:dyDescent="0.3">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c r="Q232" s="5">
        <f t="shared" si="3"/>
        <v>118726350.25999992</v>
      </c>
    </row>
    <row r="233" spans="1:17" x14ac:dyDescent="0.3">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c r="Q233" s="5">
        <f t="shared" si="3"/>
        <v>118726350.25999992</v>
      </c>
    </row>
    <row r="234" spans="1:17" x14ac:dyDescent="0.3">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c r="Q234" s="5">
        <f t="shared" si="3"/>
        <v>118726350.25999992</v>
      </c>
    </row>
    <row r="235" spans="1:17" x14ac:dyDescent="0.3">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c r="Q235" s="5">
        <f t="shared" si="3"/>
        <v>118726350.25999992</v>
      </c>
    </row>
    <row r="236" spans="1:17" x14ac:dyDescent="0.3">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c r="Q236" s="5">
        <f t="shared" si="3"/>
        <v>118726350.25999992</v>
      </c>
    </row>
    <row r="237" spans="1:17" x14ac:dyDescent="0.3">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c r="Q237" s="5">
        <f t="shared" si="3"/>
        <v>118726350.25999992</v>
      </c>
    </row>
    <row r="238" spans="1:17" x14ac:dyDescent="0.3">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c r="Q238" s="5">
        <f t="shared" si="3"/>
        <v>118726350.25999992</v>
      </c>
    </row>
    <row r="239" spans="1:17" x14ac:dyDescent="0.3">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c r="Q239" s="5">
        <f t="shared" si="3"/>
        <v>118726350.25999992</v>
      </c>
    </row>
    <row r="240" spans="1:17" x14ac:dyDescent="0.3">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c r="Q240" s="5">
        <f t="shared" si="3"/>
        <v>118726350.25999992</v>
      </c>
    </row>
    <row r="241" spans="1:17" x14ac:dyDescent="0.3">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c r="Q241" s="5">
        <f t="shared" si="3"/>
        <v>118726350.25999992</v>
      </c>
    </row>
    <row r="242" spans="1:17" x14ac:dyDescent="0.3">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c r="Q242" s="5">
        <f t="shared" si="3"/>
        <v>118726350.25999992</v>
      </c>
    </row>
    <row r="243" spans="1:17" x14ac:dyDescent="0.3">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c r="Q243" s="5">
        <f t="shared" si="3"/>
        <v>118726350.25999992</v>
      </c>
    </row>
    <row r="244" spans="1:17" x14ac:dyDescent="0.3">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c r="Q244" s="5">
        <f t="shared" si="3"/>
        <v>118726350.25999992</v>
      </c>
    </row>
    <row r="245" spans="1:17" x14ac:dyDescent="0.3">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c r="Q245" s="5">
        <f t="shared" si="3"/>
        <v>118726350.25999992</v>
      </c>
    </row>
    <row r="246" spans="1:17" x14ac:dyDescent="0.3">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c r="Q246" s="5">
        <f t="shared" si="3"/>
        <v>118726350.25999992</v>
      </c>
    </row>
    <row r="247" spans="1:17" x14ac:dyDescent="0.3">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c r="Q247" s="5">
        <f t="shared" si="3"/>
        <v>118726350.25999992</v>
      </c>
    </row>
    <row r="248" spans="1:17" x14ac:dyDescent="0.3">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c r="Q248" s="5">
        <f t="shared" si="3"/>
        <v>118726350.25999992</v>
      </c>
    </row>
    <row r="249" spans="1:17" x14ac:dyDescent="0.3">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c r="Q249" s="5">
        <f t="shared" si="3"/>
        <v>118726350.25999992</v>
      </c>
    </row>
    <row r="250" spans="1:17" x14ac:dyDescent="0.3">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c r="Q250" s="5">
        <f t="shared" si="3"/>
        <v>118726350.25999992</v>
      </c>
    </row>
    <row r="251" spans="1:17" x14ac:dyDescent="0.3">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c r="Q251" s="5">
        <f t="shared" si="3"/>
        <v>118726350.25999992</v>
      </c>
    </row>
    <row r="252" spans="1:17" x14ac:dyDescent="0.3">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c r="Q252" s="5">
        <f t="shared" si="3"/>
        <v>118726350.25999992</v>
      </c>
    </row>
    <row r="253" spans="1:17" x14ac:dyDescent="0.3">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c r="Q253" s="5">
        <f t="shared" si="3"/>
        <v>118726350.25999992</v>
      </c>
    </row>
    <row r="254" spans="1:17" x14ac:dyDescent="0.3">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c r="Q254" s="5">
        <f t="shared" si="3"/>
        <v>118726350.25999992</v>
      </c>
    </row>
    <row r="255" spans="1:17" x14ac:dyDescent="0.3">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c r="Q255" s="5">
        <f t="shared" si="3"/>
        <v>118726350.25999992</v>
      </c>
    </row>
    <row r="256" spans="1:17" x14ac:dyDescent="0.3">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c r="Q256" s="5">
        <f t="shared" si="3"/>
        <v>118726350.25999992</v>
      </c>
    </row>
    <row r="257" spans="1:17" x14ac:dyDescent="0.3">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c r="Q257" s="5">
        <f t="shared" si="3"/>
        <v>118726350.25999992</v>
      </c>
    </row>
    <row r="258" spans="1:17" x14ac:dyDescent="0.3">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c r="Q258" s="5">
        <f t="shared" ref="Q258:Q321" si="4">SUM(J:J)</f>
        <v>118726350.25999992</v>
      </c>
    </row>
    <row r="259" spans="1:17" x14ac:dyDescent="0.3">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c r="Q259" s="5">
        <f t="shared" si="4"/>
        <v>118726350.25999992</v>
      </c>
    </row>
    <row r="260" spans="1:17" x14ac:dyDescent="0.3">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c r="Q260" s="5">
        <f t="shared" si="4"/>
        <v>118726350.25999992</v>
      </c>
    </row>
    <row r="261" spans="1:17" x14ac:dyDescent="0.3">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c r="Q261" s="5">
        <f t="shared" si="4"/>
        <v>118726350.25999992</v>
      </c>
    </row>
    <row r="262" spans="1:17" x14ac:dyDescent="0.3">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c r="Q262" s="5">
        <f t="shared" si="4"/>
        <v>118726350.25999992</v>
      </c>
    </row>
    <row r="263" spans="1:17" x14ac:dyDescent="0.3">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c r="Q263" s="5">
        <f t="shared" si="4"/>
        <v>118726350.25999992</v>
      </c>
    </row>
    <row r="264" spans="1:17" x14ac:dyDescent="0.3">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c r="Q264" s="5">
        <f t="shared" si="4"/>
        <v>118726350.25999992</v>
      </c>
    </row>
    <row r="265" spans="1:17" x14ac:dyDescent="0.3">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c r="Q265" s="5">
        <f t="shared" si="4"/>
        <v>118726350.25999992</v>
      </c>
    </row>
    <row r="266" spans="1:17" x14ac:dyDescent="0.3">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c r="Q266" s="5">
        <f t="shared" si="4"/>
        <v>118726350.25999992</v>
      </c>
    </row>
    <row r="267" spans="1:17" x14ac:dyDescent="0.3">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c r="Q267" s="5">
        <f t="shared" si="4"/>
        <v>118726350.25999992</v>
      </c>
    </row>
    <row r="268" spans="1:17" x14ac:dyDescent="0.3">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c r="Q268" s="5">
        <f t="shared" si="4"/>
        <v>118726350.25999992</v>
      </c>
    </row>
    <row r="269" spans="1:17" x14ac:dyDescent="0.3">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c r="Q269" s="5">
        <f t="shared" si="4"/>
        <v>118726350.25999992</v>
      </c>
    </row>
    <row r="270" spans="1:17" x14ac:dyDescent="0.3">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c r="Q270" s="5">
        <f t="shared" si="4"/>
        <v>118726350.25999992</v>
      </c>
    </row>
    <row r="271" spans="1:17" x14ac:dyDescent="0.3">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c r="Q271" s="5">
        <f t="shared" si="4"/>
        <v>118726350.25999992</v>
      </c>
    </row>
    <row r="272" spans="1:17" x14ac:dyDescent="0.3">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c r="Q272" s="5">
        <f t="shared" si="4"/>
        <v>118726350.25999992</v>
      </c>
    </row>
    <row r="273" spans="1:17" x14ac:dyDescent="0.3">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c r="Q273" s="5">
        <f t="shared" si="4"/>
        <v>118726350.25999992</v>
      </c>
    </row>
    <row r="274" spans="1:17" x14ac:dyDescent="0.3">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c r="Q274" s="5">
        <f t="shared" si="4"/>
        <v>118726350.25999992</v>
      </c>
    </row>
    <row r="275" spans="1:17" x14ac:dyDescent="0.3">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c r="Q275" s="5">
        <f t="shared" si="4"/>
        <v>118726350.25999992</v>
      </c>
    </row>
    <row r="276" spans="1:17" x14ac:dyDescent="0.3">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c r="Q276" s="5">
        <f t="shared" si="4"/>
        <v>118726350.25999992</v>
      </c>
    </row>
    <row r="277" spans="1:17" x14ac:dyDescent="0.3">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c r="Q277" s="5">
        <f t="shared" si="4"/>
        <v>118726350.25999992</v>
      </c>
    </row>
    <row r="278" spans="1:17" x14ac:dyDescent="0.3">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c r="Q278" s="5">
        <f t="shared" si="4"/>
        <v>118726350.25999992</v>
      </c>
    </row>
    <row r="279" spans="1:17" x14ac:dyDescent="0.3">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c r="Q279" s="5">
        <f t="shared" si="4"/>
        <v>118726350.25999992</v>
      </c>
    </row>
    <row r="280" spans="1:17" x14ac:dyDescent="0.3">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c r="Q280" s="5">
        <f t="shared" si="4"/>
        <v>118726350.25999992</v>
      </c>
    </row>
    <row r="281" spans="1:17" x14ac:dyDescent="0.3">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c r="Q281" s="5">
        <f t="shared" si="4"/>
        <v>118726350.25999992</v>
      </c>
    </row>
    <row r="282" spans="1:17" x14ac:dyDescent="0.3">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c r="Q282" s="5">
        <f t="shared" si="4"/>
        <v>118726350.25999992</v>
      </c>
    </row>
    <row r="283" spans="1:17" x14ac:dyDescent="0.3">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c r="Q283" s="5">
        <f t="shared" si="4"/>
        <v>118726350.25999992</v>
      </c>
    </row>
    <row r="284" spans="1:17" x14ac:dyDescent="0.3">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c r="Q284" s="5">
        <f t="shared" si="4"/>
        <v>118726350.25999992</v>
      </c>
    </row>
    <row r="285" spans="1:17" x14ac:dyDescent="0.3">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c r="Q285" s="5">
        <f t="shared" si="4"/>
        <v>118726350.25999992</v>
      </c>
    </row>
    <row r="286" spans="1:17" x14ac:dyDescent="0.3">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c r="Q286" s="5">
        <f t="shared" si="4"/>
        <v>118726350.25999992</v>
      </c>
    </row>
    <row r="287" spans="1:17" x14ac:dyDescent="0.3">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c r="Q287" s="5">
        <f t="shared" si="4"/>
        <v>118726350.25999992</v>
      </c>
    </row>
    <row r="288" spans="1:17" x14ac:dyDescent="0.3">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c r="Q288" s="5">
        <f t="shared" si="4"/>
        <v>118726350.25999992</v>
      </c>
    </row>
    <row r="289" spans="1:17" x14ac:dyDescent="0.3">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c r="Q289" s="5">
        <f t="shared" si="4"/>
        <v>118726350.25999992</v>
      </c>
    </row>
    <row r="290" spans="1:17" x14ac:dyDescent="0.3">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c r="Q290" s="5">
        <f t="shared" si="4"/>
        <v>118726350.25999992</v>
      </c>
    </row>
    <row r="291" spans="1:17" x14ac:dyDescent="0.3">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c r="Q291" s="5">
        <f t="shared" si="4"/>
        <v>118726350.25999992</v>
      </c>
    </row>
    <row r="292" spans="1:17" x14ac:dyDescent="0.3">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c r="Q292" s="5">
        <f t="shared" si="4"/>
        <v>118726350.25999992</v>
      </c>
    </row>
    <row r="293" spans="1:17" x14ac:dyDescent="0.3">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c r="Q293" s="5">
        <f t="shared" si="4"/>
        <v>118726350.25999992</v>
      </c>
    </row>
    <row r="294" spans="1:17" x14ac:dyDescent="0.3">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c r="Q294" s="5">
        <f t="shared" si="4"/>
        <v>118726350.25999992</v>
      </c>
    </row>
    <row r="295" spans="1:17" x14ac:dyDescent="0.3">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c r="Q295" s="5">
        <f t="shared" si="4"/>
        <v>118726350.25999992</v>
      </c>
    </row>
    <row r="296" spans="1:17" x14ac:dyDescent="0.3">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c r="Q296" s="5">
        <f t="shared" si="4"/>
        <v>118726350.25999992</v>
      </c>
    </row>
    <row r="297" spans="1:17" x14ac:dyDescent="0.3">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c r="Q297" s="5">
        <f t="shared" si="4"/>
        <v>118726350.25999992</v>
      </c>
    </row>
    <row r="298" spans="1:17" x14ac:dyDescent="0.3">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c r="Q298" s="5">
        <f t="shared" si="4"/>
        <v>118726350.25999992</v>
      </c>
    </row>
    <row r="299" spans="1:17" x14ac:dyDescent="0.3">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c r="Q299" s="5">
        <f t="shared" si="4"/>
        <v>118726350.25999992</v>
      </c>
    </row>
    <row r="300" spans="1:17" x14ac:dyDescent="0.3">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c r="Q300" s="5">
        <f t="shared" si="4"/>
        <v>118726350.25999992</v>
      </c>
    </row>
    <row r="301" spans="1:17" x14ac:dyDescent="0.3">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c r="Q301" s="5">
        <f t="shared" si="4"/>
        <v>118726350.25999992</v>
      </c>
    </row>
    <row r="302" spans="1:17" x14ac:dyDescent="0.3">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c r="Q302" s="5">
        <f t="shared" si="4"/>
        <v>118726350.25999992</v>
      </c>
    </row>
    <row r="303" spans="1:17" x14ac:dyDescent="0.3">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c r="Q303" s="5">
        <f t="shared" si="4"/>
        <v>118726350.25999992</v>
      </c>
    </row>
    <row r="304" spans="1:17" x14ac:dyDescent="0.3">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c r="Q304" s="5">
        <f t="shared" si="4"/>
        <v>118726350.25999992</v>
      </c>
    </row>
    <row r="305" spans="1:17" x14ac:dyDescent="0.3">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c r="Q305" s="5">
        <f t="shared" si="4"/>
        <v>118726350.25999992</v>
      </c>
    </row>
    <row r="306" spans="1:17" x14ac:dyDescent="0.3">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c r="Q306" s="5">
        <f t="shared" si="4"/>
        <v>118726350.25999992</v>
      </c>
    </row>
    <row r="307" spans="1:17" x14ac:dyDescent="0.3">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c r="Q307" s="5">
        <f t="shared" si="4"/>
        <v>118726350.25999992</v>
      </c>
    </row>
    <row r="308" spans="1:17" x14ac:dyDescent="0.3">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c r="Q308" s="5">
        <f t="shared" si="4"/>
        <v>118726350.25999992</v>
      </c>
    </row>
    <row r="309" spans="1:17" x14ac:dyDescent="0.3">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c r="Q309" s="5">
        <f t="shared" si="4"/>
        <v>118726350.25999992</v>
      </c>
    </row>
    <row r="310" spans="1:17" x14ac:dyDescent="0.3">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c r="Q310" s="5">
        <f t="shared" si="4"/>
        <v>118726350.25999992</v>
      </c>
    </row>
    <row r="311" spans="1:17" x14ac:dyDescent="0.3">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c r="Q311" s="5">
        <f t="shared" si="4"/>
        <v>118726350.25999992</v>
      </c>
    </row>
    <row r="312" spans="1:17" x14ac:dyDescent="0.3">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c r="Q312" s="5">
        <f t="shared" si="4"/>
        <v>118726350.25999992</v>
      </c>
    </row>
    <row r="313" spans="1:17" x14ac:dyDescent="0.3">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c r="Q313" s="5">
        <f t="shared" si="4"/>
        <v>118726350.25999992</v>
      </c>
    </row>
    <row r="314" spans="1:17" x14ac:dyDescent="0.3">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c r="Q314" s="5">
        <f t="shared" si="4"/>
        <v>118726350.25999992</v>
      </c>
    </row>
    <row r="315" spans="1:17" x14ac:dyDescent="0.3">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c r="Q315" s="5">
        <f t="shared" si="4"/>
        <v>118726350.25999992</v>
      </c>
    </row>
    <row r="316" spans="1:17" x14ac:dyDescent="0.3">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c r="Q316" s="5">
        <f t="shared" si="4"/>
        <v>118726350.25999992</v>
      </c>
    </row>
    <row r="317" spans="1:17" x14ac:dyDescent="0.3">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c r="Q317" s="5">
        <f t="shared" si="4"/>
        <v>118726350.25999992</v>
      </c>
    </row>
    <row r="318" spans="1:17" x14ac:dyDescent="0.3">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c r="Q318" s="5">
        <f t="shared" si="4"/>
        <v>118726350.25999992</v>
      </c>
    </row>
    <row r="319" spans="1:17" x14ac:dyDescent="0.3">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c r="Q319" s="5">
        <f t="shared" si="4"/>
        <v>118726350.25999992</v>
      </c>
    </row>
    <row r="320" spans="1:17" x14ac:dyDescent="0.3">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c r="Q320" s="5">
        <f t="shared" si="4"/>
        <v>118726350.25999992</v>
      </c>
    </row>
    <row r="321" spans="1:17" x14ac:dyDescent="0.3">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c r="Q321" s="5">
        <f t="shared" si="4"/>
        <v>118726350.25999992</v>
      </c>
    </row>
    <row r="322" spans="1:17" x14ac:dyDescent="0.3">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c r="Q322" s="5">
        <f t="shared" ref="Q322:Q385" si="5">SUM(J:J)</f>
        <v>118726350.25999992</v>
      </c>
    </row>
    <row r="323" spans="1:17" x14ac:dyDescent="0.3">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c r="Q323" s="5">
        <f t="shared" si="5"/>
        <v>118726350.25999992</v>
      </c>
    </row>
    <row r="324" spans="1:17" x14ac:dyDescent="0.3">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c r="Q324" s="5">
        <f t="shared" si="5"/>
        <v>118726350.25999992</v>
      </c>
    </row>
    <row r="325" spans="1:17" x14ac:dyDescent="0.3">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c r="Q325" s="5">
        <f t="shared" si="5"/>
        <v>118726350.25999992</v>
      </c>
    </row>
    <row r="326" spans="1:17" x14ac:dyDescent="0.3">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c r="Q326" s="5">
        <f t="shared" si="5"/>
        <v>118726350.25999992</v>
      </c>
    </row>
    <row r="327" spans="1:17" x14ac:dyDescent="0.3">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c r="Q327" s="5">
        <f t="shared" si="5"/>
        <v>118726350.25999992</v>
      </c>
    </row>
    <row r="328" spans="1:17" x14ac:dyDescent="0.3">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c r="Q328" s="5">
        <f t="shared" si="5"/>
        <v>118726350.25999992</v>
      </c>
    </row>
    <row r="329" spans="1:17" x14ac:dyDescent="0.3">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c r="Q329" s="5">
        <f t="shared" si="5"/>
        <v>118726350.25999992</v>
      </c>
    </row>
    <row r="330" spans="1:17" x14ac:dyDescent="0.3">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c r="Q330" s="5">
        <f t="shared" si="5"/>
        <v>118726350.25999992</v>
      </c>
    </row>
    <row r="331" spans="1:17" x14ac:dyDescent="0.3">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c r="Q331" s="5">
        <f t="shared" si="5"/>
        <v>118726350.25999992</v>
      </c>
    </row>
    <row r="332" spans="1:17" x14ac:dyDescent="0.3">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c r="Q332" s="5">
        <f t="shared" si="5"/>
        <v>118726350.25999992</v>
      </c>
    </row>
    <row r="333" spans="1:17" x14ac:dyDescent="0.3">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c r="Q333" s="5">
        <f t="shared" si="5"/>
        <v>118726350.25999992</v>
      </c>
    </row>
    <row r="334" spans="1:17" x14ac:dyDescent="0.3">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c r="Q334" s="5">
        <f t="shared" si="5"/>
        <v>118726350.25999992</v>
      </c>
    </row>
    <row r="335" spans="1:17" x14ac:dyDescent="0.3">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c r="Q335" s="5">
        <f t="shared" si="5"/>
        <v>118726350.25999992</v>
      </c>
    </row>
    <row r="336" spans="1:17" x14ac:dyDescent="0.3">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c r="Q336" s="5">
        <f t="shared" si="5"/>
        <v>118726350.25999992</v>
      </c>
    </row>
    <row r="337" spans="1:17" x14ac:dyDescent="0.3">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c r="Q337" s="5">
        <f t="shared" si="5"/>
        <v>118726350.25999992</v>
      </c>
    </row>
    <row r="338" spans="1:17" x14ac:dyDescent="0.3">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c r="Q338" s="5">
        <f t="shared" si="5"/>
        <v>118726350.25999992</v>
      </c>
    </row>
    <row r="339" spans="1:17" x14ac:dyDescent="0.3">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c r="Q339" s="5">
        <f t="shared" si="5"/>
        <v>118726350.25999992</v>
      </c>
    </row>
    <row r="340" spans="1:17" x14ac:dyDescent="0.3">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c r="Q340" s="5">
        <f t="shared" si="5"/>
        <v>118726350.25999992</v>
      </c>
    </row>
    <row r="341" spans="1:17" x14ac:dyDescent="0.3">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c r="Q341" s="5">
        <f t="shared" si="5"/>
        <v>118726350.25999992</v>
      </c>
    </row>
    <row r="342" spans="1:17" x14ac:dyDescent="0.3">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c r="Q342" s="5">
        <f t="shared" si="5"/>
        <v>118726350.25999992</v>
      </c>
    </row>
    <row r="343" spans="1:17" x14ac:dyDescent="0.3">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c r="Q343" s="5">
        <f t="shared" si="5"/>
        <v>118726350.25999992</v>
      </c>
    </row>
    <row r="344" spans="1:17" x14ac:dyDescent="0.3">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c r="Q344" s="5">
        <f t="shared" si="5"/>
        <v>118726350.25999992</v>
      </c>
    </row>
    <row r="345" spans="1:17" x14ac:dyDescent="0.3">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c r="Q345" s="5">
        <f t="shared" si="5"/>
        <v>118726350.25999992</v>
      </c>
    </row>
    <row r="346" spans="1:17" x14ac:dyDescent="0.3">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c r="Q346" s="5">
        <f t="shared" si="5"/>
        <v>118726350.25999992</v>
      </c>
    </row>
    <row r="347" spans="1:17" x14ac:dyDescent="0.3">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c r="Q347" s="5">
        <f t="shared" si="5"/>
        <v>118726350.25999992</v>
      </c>
    </row>
    <row r="348" spans="1:17" x14ac:dyDescent="0.3">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c r="Q348" s="5">
        <f t="shared" si="5"/>
        <v>118726350.25999992</v>
      </c>
    </row>
    <row r="349" spans="1:17" x14ac:dyDescent="0.3">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c r="Q349" s="5">
        <f t="shared" si="5"/>
        <v>118726350.25999992</v>
      </c>
    </row>
    <row r="350" spans="1:17" x14ac:dyDescent="0.3">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c r="Q350" s="5">
        <f t="shared" si="5"/>
        <v>118726350.25999992</v>
      </c>
    </row>
    <row r="351" spans="1:17" x14ac:dyDescent="0.3">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c r="Q351" s="5">
        <f t="shared" si="5"/>
        <v>118726350.25999992</v>
      </c>
    </row>
    <row r="352" spans="1:17" x14ac:dyDescent="0.3">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c r="Q352" s="5">
        <f t="shared" si="5"/>
        <v>118726350.25999992</v>
      </c>
    </row>
    <row r="353" spans="1:17" x14ac:dyDescent="0.3">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c r="Q353" s="5">
        <f t="shared" si="5"/>
        <v>118726350.25999992</v>
      </c>
    </row>
    <row r="354" spans="1:17" x14ac:dyDescent="0.3">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c r="Q354" s="5">
        <f t="shared" si="5"/>
        <v>118726350.25999992</v>
      </c>
    </row>
    <row r="355" spans="1:17" x14ac:dyDescent="0.3">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c r="Q355" s="5">
        <f t="shared" si="5"/>
        <v>118726350.25999992</v>
      </c>
    </row>
    <row r="356" spans="1:17" x14ac:dyDescent="0.3">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c r="Q356" s="5">
        <f t="shared" si="5"/>
        <v>118726350.25999992</v>
      </c>
    </row>
    <row r="357" spans="1:17" x14ac:dyDescent="0.3">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c r="Q357" s="5">
        <f t="shared" si="5"/>
        <v>118726350.25999992</v>
      </c>
    </row>
    <row r="358" spans="1:17" x14ac:dyDescent="0.3">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c r="Q358" s="5">
        <f t="shared" si="5"/>
        <v>118726350.25999992</v>
      </c>
    </row>
    <row r="359" spans="1:17" x14ac:dyDescent="0.3">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c r="Q359" s="5">
        <f t="shared" si="5"/>
        <v>118726350.25999992</v>
      </c>
    </row>
    <row r="360" spans="1:17" x14ac:dyDescent="0.3">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c r="Q360" s="5">
        <f t="shared" si="5"/>
        <v>118726350.25999992</v>
      </c>
    </row>
    <row r="361" spans="1:17" x14ac:dyDescent="0.3">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c r="Q361" s="5">
        <f t="shared" si="5"/>
        <v>118726350.25999992</v>
      </c>
    </row>
    <row r="362" spans="1:17" x14ac:dyDescent="0.3">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c r="Q362" s="5">
        <f t="shared" si="5"/>
        <v>118726350.25999992</v>
      </c>
    </row>
    <row r="363" spans="1:17" x14ac:dyDescent="0.3">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c r="Q363" s="5">
        <f t="shared" si="5"/>
        <v>118726350.25999992</v>
      </c>
    </row>
    <row r="364" spans="1:17" x14ac:dyDescent="0.3">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c r="Q364" s="5">
        <f t="shared" si="5"/>
        <v>118726350.25999992</v>
      </c>
    </row>
    <row r="365" spans="1:17" x14ac:dyDescent="0.3">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c r="Q365" s="5">
        <f t="shared" si="5"/>
        <v>118726350.25999992</v>
      </c>
    </row>
    <row r="366" spans="1:17" x14ac:dyDescent="0.3">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c r="Q366" s="5">
        <f t="shared" si="5"/>
        <v>118726350.25999992</v>
      </c>
    </row>
    <row r="367" spans="1:17" x14ac:dyDescent="0.3">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c r="Q367" s="5">
        <f t="shared" si="5"/>
        <v>118726350.25999992</v>
      </c>
    </row>
    <row r="368" spans="1:17" x14ac:dyDescent="0.3">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c r="Q368" s="5">
        <f t="shared" si="5"/>
        <v>118726350.25999992</v>
      </c>
    </row>
    <row r="369" spans="1:17" x14ac:dyDescent="0.3">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c r="Q369" s="5">
        <f t="shared" si="5"/>
        <v>118726350.25999992</v>
      </c>
    </row>
    <row r="370" spans="1:17" x14ac:dyDescent="0.3">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c r="Q370" s="5">
        <f t="shared" si="5"/>
        <v>118726350.25999992</v>
      </c>
    </row>
    <row r="371" spans="1:17" x14ac:dyDescent="0.3">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c r="Q371" s="5">
        <f t="shared" si="5"/>
        <v>118726350.25999992</v>
      </c>
    </row>
    <row r="372" spans="1:17" x14ac:dyDescent="0.3">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c r="Q372" s="5">
        <f t="shared" si="5"/>
        <v>118726350.25999992</v>
      </c>
    </row>
    <row r="373" spans="1:17" x14ac:dyDescent="0.3">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c r="Q373" s="5">
        <f t="shared" si="5"/>
        <v>118726350.25999992</v>
      </c>
    </row>
    <row r="374" spans="1:17" x14ac:dyDescent="0.3">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c r="Q374" s="5">
        <f t="shared" si="5"/>
        <v>118726350.25999992</v>
      </c>
    </row>
    <row r="375" spans="1:17" x14ac:dyDescent="0.3">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c r="Q375" s="5">
        <f t="shared" si="5"/>
        <v>118726350.25999992</v>
      </c>
    </row>
    <row r="376" spans="1:17" x14ac:dyDescent="0.3">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c r="Q376" s="5">
        <f t="shared" si="5"/>
        <v>118726350.25999992</v>
      </c>
    </row>
    <row r="377" spans="1:17" x14ac:dyDescent="0.3">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c r="Q377" s="5">
        <f t="shared" si="5"/>
        <v>118726350.25999992</v>
      </c>
    </row>
    <row r="378" spans="1:17" x14ac:dyDescent="0.3">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c r="Q378" s="5">
        <f t="shared" si="5"/>
        <v>118726350.25999992</v>
      </c>
    </row>
    <row r="379" spans="1:17" x14ac:dyDescent="0.3">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c r="Q379" s="5">
        <f t="shared" si="5"/>
        <v>118726350.25999992</v>
      </c>
    </row>
    <row r="380" spans="1:17" x14ac:dyDescent="0.3">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c r="Q380" s="5">
        <f t="shared" si="5"/>
        <v>118726350.25999992</v>
      </c>
    </row>
    <row r="381" spans="1:17" x14ac:dyDescent="0.3">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c r="Q381" s="5">
        <f t="shared" si="5"/>
        <v>118726350.25999992</v>
      </c>
    </row>
    <row r="382" spans="1:17" x14ac:dyDescent="0.3">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c r="Q382" s="5">
        <f t="shared" si="5"/>
        <v>118726350.25999992</v>
      </c>
    </row>
    <row r="383" spans="1:17" x14ac:dyDescent="0.3">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c r="Q383" s="5">
        <f t="shared" si="5"/>
        <v>118726350.25999992</v>
      </c>
    </row>
    <row r="384" spans="1:17" x14ac:dyDescent="0.3">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c r="Q384" s="5">
        <f t="shared" si="5"/>
        <v>118726350.25999992</v>
      </c>
    </row>
    <row r="385" spans="1:17" x14ac:dyDescent="0.3">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c r="Q385" s="5">
        <f t="shared" si="5"/>
        <v>118726350.25999992</v>
      </c>
    </row>
    <row r="386" spans="1:17" x14ac:dyDescent="0.3">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c r="Q386" s="5">
        <f t="shared" ref="Q386:Q449" si="6">SUM(J:J)</f>
        <v>118726350.25999992</v>
      </c>
    </row>
    <row r="387" spans="1:17" x14ac:dyDescent="0.3">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c r="Q387" s="5">
        <f t="shared" si="6"/>
        <v>118726350.25999992</v>
      </c>
    </row>
    <row r="388" spans="1:17" x14ac:dyDescent="0.3">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c r="Q388" s="5">
        <f t="shared" si="6"/>
        <v>118726350.25999992</v>
      </c>
    </row>
    <row r="389" spans="1:17" x14ac:dyDescent="0.3">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c r="Q389" s="5">
        <f t="shared" si="6"/>
        <v>118726350.25999992</v>
      </c>
    </row>
    <row r="390" spans="1:17" x14ac:dyDescent="0.3">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c r="Q390" s="5">
        <f t="shared" si="6"/>
        <v>118726350.25999992</v>
      </c>
    </row>
    <row r="391" spans="1:17" x14ac:dyDescent="0.3">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c r="Q391" s="5">
        <f t="shared" si="6"/>
        <v>118726350.25999992</v>
      </c>
    </row>
    <row r="392" spans="1:17" x14ac:dyDescent="0.3">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c r="Q392" s="5">
        <f t="shared" si="6"/>
        <v>118726350.25999992</v>
      </c>
    </row>
    <row r="393" spans="1:17" x14ac:dyDescent="0.3">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c r="Q393" s="5">
        <f t="shared" si="6"/>
        <v>118726350.25999992</v>
      </c>
    </row>
    <row r="394" spans="1:17" x14ac:dyDescent="0.3">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c r="Q394" s="5">
        <f t="shared" si="6"/>
        <v>118726350.25999992</v>
      </c>
    </row>
    <row r="395" spans="1:17" x14ac:dyDescent="0.3">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c r="Q395" s="5">
        <f t="shared" si="6"/>
        <v>118726350.25999992</v>
      </c>
    </row>
    <row r="396" spans="1:17" x14ac:dyDescent="0.3">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c r="Q396" s="5">
        <f t="shared" si="6"/>
        <v>118726350.25999992</v>
      </c>
    </row>
    <row r="397" spans="1:17" x14ac:dyDescent="0.3">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c r="Q397" s="5">
        <f t="shared" si="6"/>
        <v>118726350.25999992</v>
      </c>
    </row>
    <row r="398" spans="1:17" x14ac:dyDescent="0.3">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c r="Q398" s="5">
        <f t="shared" si="6"/>
        <v>118726350.25999992</v>
      </c>
    </row>
    <row r="399" spans="1:17" x14ac:dyDescent="0.3">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c r="Q399" s="5">
        <f t="shared" si="6"/>
        <v>118726350.25999992</v>
      </c>
    </row>
    <row r="400" spans="1:17" x14ac:dyDescent="0.3">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c r="Q400" s="5">
        <f t="shared" si="6"/>
        <v>118726350.25999992</v>
      </c>
    </row>
    <row r="401" spans="1:17" x14ac:dyDescent="0.3">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c r="Q401" s="5">
        <f t="shared" si="6"/>
        <v>118726350.25999992</v>
      </c>
    </row>
    <row r="402" spans="1:17" x14ac:dyDescent="0.3">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c r="Q402" s="5">
        <f t="shared" si="6"/>
        <v>118726350.25999992</v>
      </c>
    </row>
    <row r="403" spans="1:17" x14ac:dyDescent="0.3">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c r="Q403" s="5">
        <f t="shared" si="6"/>
        <v>118726350.25999992</v>
      </c>
    </row>
    <row r="404" spans="1:17" x14ac:dyDescent="0.3">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c r="Q404" s="5">
        <f t="shared" si="6"/>
        <v>118726350.25999992</v>
      </c>
    </row>
    <row r="405" spans="1:17" x14ac:dyDescent="0.3">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c r="Q405" s="5">
        <f t="shared" si="6"/>
        <v>118726350.25999992</v>
      </c>
    </row>
    <row r="406" spans="1:17" x14ac:dyDescent="0.3">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c r="Q406" s="5">
        <f t="shared" si="6"/>
        <v>118726350.25999992</v>
      </c>
    </row>
    <row r="407" spans="1:17" x14ac:dyDescent="0.3">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c r="Q407" s="5">
        <f t="shared" si="6"/>
        <v>118726350.25999992</v>
      </c>
    </row>
    <row r="408" spans="1:17" x14ac:dyDescent="0.3">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c r="Q408" s="5">
        <f t="shared" si="6"/>
        <v>118726350.25999992</v>
      </c>
    </row>
    <row r="409" spans="1:17" x14ac:dyDescent="0.3">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c r="Q409" s="5">
        <f t="shared" si="6"/>
        <v>118726350.25999992</v>
      </c>
    </row>
    <row r="410" spans="1:17" x14ac:dyDescent="0.3">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c r="Q410" s="5">
        <f t="shared" si="6"/>
        <v>118726350.25999992</v>
      </c>
    </row>
    <row r="411" spans="1:17" x14ac:dyDescent="0.3">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c r="Q411" s="5">
        <f t="shared" si="6"/>
        <v>118726350.25999992</v>
      </c>
    </row>
    <row r="412" spans="1:17" x14ac:dyDescent="0.3">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c r="Q412" s="5">
        <f t="shared" si="6"/>
        <v>118726350.25999992</v>
      </c>
    </row>
    <row r="413" spans="1:17" x14ac:dyDescent="0.3">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c r="Q413" s="5">
        <f t="shared" si="6"/>
        <v>118726350.25999992</v>
      </c>
    </row>
    <row r="414" spans="1:17" x14ac:dyDescent="0.3">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c r="Q414" s="5">
        <f t="shared" si="6"/>
        <v>118726350.25999992</v>
      </c>
    </row>
    <row r="415" spans="1:17" x14ac:dyDescent="0.3">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c r="Q415" s="5">
        <f t="shared" si="6"/>
        <v>118726350.25999992</v>
      </c>
    </row>
    <row r="416" spans="1:17" x14ac:dyDescent="0.3">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c r="Q416" s="5">
        <f t="shared" si="6"/>
        <v>118726350.25999992</v>
      </c>
    </row>
    <row r="417" spans="1:17" x14ac:dyDescent="0.3">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c r="Q417" s="5">
        <f t="shared" si="6"/>
        <v>118726350.25999992</v>
      </c>
    </row>
    <row r="418" spans="1:17" x14ac:dyDescent="0.3">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c r="Q418" s="5">
        <f t="shared" si="6"/>
        <v>118726350.25999992</v>
      </c>
    </row>
    <row r="419" spans="1:17" x14ac:dyDescent="0.3">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c r="Q419" s="5">
        <f t="shared" si="6"/>
        <v>118726350.25999992</v>
      </c>
    </row>
    <row r="420" spans="1:17" x14ac:dyDescent="0.3">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c r="Q420" s="5">
        <f t="shared" si="6"/>
        <v>118726350.25999992</v>
      </c>
    </row>
    <row r="421" spans="1:17" x14ac:dyDescent="0.3">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c r="Q421" s="5">
        <f t="shared" si="6"/>
        <v>118726350.25999992</v>
      </c>
    </row>
    <row r="422" spans="1:17" x14ac:dyDescent="0.3">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c r="Q422" s="5">
        <f t="shared" si="6"/>
        <v>118726350.25999992</v>
      </c>
    </row>
    <row r="423" spans="1:17" x14ac:dyDescent="0.3">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c r="Q423" s="5">
        <f t="shared" si="6"/>
        <v>118726350.25999992</v>
      </c>
    </row>
    <row r="424" spans="1:17" x14ac:dyDescent="0.3">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c r="Q424" s="5">
        <f t="shared" si="6"/>
        <v>118726350.25999992</v>
      </c>
    </row>
    <row r="425" spans="1:17" x14ac:dyDescent="0.3">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c r="Q425" s="5">
        <f t="shared" si="6"/>
        <v>118726350.25999992</v>
      </c>
    </row>
    <row r="426" spans="1:17" x14ac:dyDescent="0.3">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c r="Q426" s="5">
        <f t="shared" si="6"/>
        <v>118726350.25999992</v>
      </c>
    </row>
    <row r="427" spans="1:17" x14ac:dyDescent="0.3">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c r="Q427" s="5">
        <f t="shared" si="6"/>
        <v>118726350.25999992</v>
      </c>
    </row>
    <row r="428" spans="1:17" x14ac:dyDescent="0.3">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c r="Q428" s="5">
        <f t="shared" si="6"/>
        <v>118726350.25999992</v>
      </c>
    </row>
    <row r="429" spans="1:17" x14ac:dyDescent="0.3">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c r="Q429" s="5">
        <f t="shared" si="6"/>
        <v>118726350.25999992</v>
      </c>
    </row>
    <row r="430" spans="1:17" x14ac:dyDescent="0.3">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c r="Q430" s="5">
        <f t="shared" si="6"/>
        <v>118726350.25999992</v>
      </c>
    </row>
    <row r="431" spans="1:17" x14ac:dyDescent="0.3">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c r="Q431" s="5">
        <f t="shared" si="6"/>
        <v>118726350.25999992</v>
      </c>
    </row>
    <row r="432" spans="1:17" x14ac:dyDescent="0.3">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c r="Q432" s="5">
        <f t="shared" si="6"/>
        <v>118726350.25999992</v>
      </c>
    </row>
    <row r="433" spans="1:17" x14ac:dyDescent="0.3">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c r="Q433" s="5">
        <f t="shared" si="6"/>
        <v>118726350.25999992</v>
      </c>
    </row>
    <row r="434" spans="1:17" x14ac:dyDescent="0.3">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c r="Q434" s="5">
        <f t="shared" si="6"/>
        <v>118726350.25999992</v>
      </c>
    </row>
    <row r="435" spans="1:17" x14ac:dyDescent="0.3">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c r="Q435" s="5">
        <f t="shared" si="6"/>
        <v>118726350.25999992</v>
      </c>
    </row>
    <row r="436" spans="1:17" x14ac:dyDescent="0.3">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c r="Q436" s="5">
        <f t="shared" si="6"/>
        <v>118726350.25999992</v>
      </c>
    </row>
    <row r="437" spans="1:17" x14ac:dyDescent="0.3">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c r="Q437" s="5">
        <f t="shared" si="6"/>
        <v>118726350.25999992</v>
      </c>
    </row>
    <row r="438" spans="1:17" x14ac:dyDescent="0.3">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c r="Q438" s="5">
        <f t="shared" si="6"/>
        <v>118726350.25999992</v>
      </c>
    </row>
    <row r="439" spans="1:17" x14ac:dyDescent="0.3">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c r="Q439" s="5">
        <f t="shared" si="6"/>
        <v>118726350.25999992</v>
      </c>
    </row>
    <row r="440" spans="1:17" x14ac:dyDescent="0.3">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c r="Q440" s="5">
        <f t="shared" si="6"/>
        <v>118726350.25999992</v>
      </c>
    </row>
    <row r="441" spans="1:17" x14ac:dyDescent="0.3">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c r="Q441" s="5">
        <f t="shared" si="6"/>
        <v>118726350.25999992</v>
      </c>
    </row>
    <row r="442" spans="1:17" x14ac:dyDescent="0.3">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c r="Q442" s="5">
        <f t="shared" si="6"/>
        <v>118726350.25999992</v>
      </c>
    </row>
    <row r="443" spans="1:17" x14ac:dyDescent="0.3">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c r="Q443" s="5">
        <f t="shared" si="6"/>
        <v>118726350.25999992</v>
      </c>
    </row>
    <row r="444" spans="1:17" x14ac:dyDescent="0.3">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c r="Q444" s="5">
        <f t="shared" si="6"/>
        <v>118726350.25999992</v>
      </c>
    </row>
    <row r="445" spans="1:17" x14ac:dyDescent="0.3">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c r="Q445" s="5">
        <f t="shared" si="6"/>
        <v>118726350.25999992</v>
      </c>
    </row>
    <row r="446" spans="1:17" x14ac:dyDescent="0.3">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c r="Q446" s="5">
        <f t="shared" si="6"/>
        <v>118726350.25999992</v>
      </c>
    </row>
    <row r="447" spans="1:17" x14ac:dyDescent="0.3">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c r="Q447" s="5">
        <f t="shared" si="6"/>
        <v>118726350.25999992</v>
      </c>
    </row>
    <row r="448" spans="1:17" x14ac:dyDescent="0.3">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c r="Q448" s="5">
        <f t="shared" si="6"/>
        <v>118726350.25999992</v>
      </c>
    </row>
    <row r="449" spans="1:17" x14ac:dyDescent="0.3">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c r="Q449" s="5">
        <f t="shared" si="6"/>
        <v>118726350.25999992</v>
      </c>
    </row>
    <row r="450" spans="1:17" x14ac:dyDescent="0.3">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c r="Q450" s="5">
        <f t="shared" ref="Q450:Q513" si="7">SUM(J:J)</f>
        <v>118726350.25999992</v>
      </c>
    </row>
    <row r="451" spans="1:17" x14ac:dyDescent="0.3">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c r="Q451" s="5">
        <f t="shared" si="7"/>
        <v>118726350.25999992</v>
      </c>
    </row>
    <row r="452" spans="1:17" x14ac:dyDescent="0.3">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c r="Q452" s="5">
        <f t="shared" si="7"/>
        <v>118726350.25999992</v>
      </c>
    </row>
    <row r="453" spans="1:17" x14ac:dyDescent="0.3">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c r="Q453" s="5">
        <f t="shared" si="7"/>
        <v>118726350.25999992</v>
      </c>
    </row>
    <row r="454" spans="1:17" x14ac:dyDescent="0.3">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c r="Q454" s="5">
        <f t="shared" si="7"/>
        <v>118726350.25999992</v>
      </c>
    </row>
    <row r="455" spans="1:17" x14ac:dyDescent="0.3">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c r="Q455" s="5">
        <f t="shared" si="7"/>
        <v>118726350.25999992</v>
      </c>
    </row>
    <row r="456" spans="1:17" x14ac:dyDescent="0.3">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c r="Q456" s="5">
        <f t="shared" si="7"/>
        <v>118726350.25999992</v>
      </c>
    </row>
    <row r="457" spans="1:17" x14ac:dyDescent="0.3">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c r="Q457" s="5">
        <f t="shared" si="7"/>
        <v>118726350.25999992</v>
      </c>
    </row>
    <row r="458" spans="1:17" x14ac:dyDescent="0.3">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c r="Q458" s="5">
        <f t="shared" si="7"/>
        <v>118726350.25999992</v>
      </c>
    </row>
    <row r="459" spans="1:17" x14ac:dyDescent="0.3">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c r="Q459" s="5">
        <f t="shared" si="7"/>
        <v>118726350.25999992</v>
      </c>
    </row>
    <row r="460" spans="1:17" x14ac:dyDescent="0.3">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c r="Q460" s="5">
        <f t="shared" si="7"/>
        <v>118726350.25999992</v>
      </c>
    </row>
    <row r="461" spans="1:17" x14ac:dyDescent="0.3">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c r="Q461" s="5">
        <f t="shared" si="7"/>
        <v>118726350.25999992</v>
      </c>
    </row>
    <row r="462" spans="1:17" x14ac:dyDescent="0.3">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c r="Q462" s="5">
        <f t="shared" si="7"/>
        <v>118726350.25999992</v>
      </c>
    </row>
    <row r="463" spans="1:17" x14ac:dyDescent="0.3">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c r="Q463" s="5">
        <f t="shared" si="7"/>
        <v>118726350.25999992</v>
      </c>
    </row>
    <row r="464" spans="1:17" x14ac:dyDescent="0.3">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c r="Q464" s="5">
        <f t="shared" si="7"/>
        <v>118726350.25999992</v>
      </c>
    </row>
    <row r="465" spans="1:17" x14ac:dyDescent="0.3">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c r="Q465" s="5">
        <f t="shared" si="7"/>
        <v>118726350.25999992</v>
      </c>
    </row>
    <row r="466" spans="1:17" x14ac:dyDescent="0.3">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c r="Q466" s="5">
        <f t="shared" si="7"/>
        <v>118726350.25999992</v>
      </c>
    </row>
    <row r="467" spans="1:17" x14ac:dyDescent="0.3">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c r="Q467" s="5">
        <f t="shared" si="7"/>
        <v>118726350.25999992</v>
      </c>
    </row>
    <row r="468" spans="1:17" x14ac:dyDescent="0.3">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c r="Q468" s="5">
        <f t="shared" si="7"/>
        <v>118726350.25999992</v>
      </c>
    </row>
    <row r="469" spans="1:17" x14ac:dyDescent="0.3">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c r="Q469" s="5">
        <f t="shared" si="7"/>
        <v>118726350.25999992</v>
      </c>
    </row>
    <row r="470" spans="1:17" x14ac:dyDescent="0.3">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c r="Q470" s="5">
        <f t="shared" si="7"/>
        <v>118726350.25999992</v>
      </c>
    </row>
    <row r="471" spans="1:17" x14ac:dyDescent="0.3">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c r="Q471" s="5">
        <f t="shared" si="7"/>
        <v>118726350.25999992</v>
      </c>
    </row>
    <row r="472" spans="1:17" x14ac:dyDescent="0.3">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c r="Q472" s="5">
        <f t="shared" si="7"/>
        <v>118726350.25999992</v>
      </c>
    </row>
    <row r="473" spans="1:17" x14ac:dyDescent="0.3">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c r="Q473" s="5">
        <f t="shared" si="7"/>
        <v>118726350.25999992</v>
      </c>
    </row>
    <row r="474" spans="1:17" x14ac:dyDescent="0.3">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c r="Q474" s="5">
        <f t="shared" si="7"/>
        <v>118726350.25999992</v>
      </c>
    </row>
    <row r="475" spans="1:17" x14ac:dyDescent="0.3">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c r="Q475" s="5">
        <f t="shared" si="7"/>
        <v>118726350.25999992</v>
      </c>
    </row>
    <row r="476" spans="1:17" x14ac:dyDescent="0.3">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c r="Q476" s="5">
        <f t="shared" si="7"/>
        <v>118726350.25999992</v>
      </c>
    </row>
    <row r="477" spans="1:17" x14ac:dyDescent="0.3">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c r="Q477" s="5">
        <f t="shared" si="7"/>
        <v>118726350.25999992</v>
      </c>
    </row>
    <row r="478" spans="1:17" x14ac:dyDescent="0.3">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c r="Q478" s="5">
        <f t="shared" si="7"/>
        <v>118726350.25999992</v>
      </c>
    </row>
    <row r="479" spans="1:17" x14ac:dyDescent="0.3">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c r="Q479" s="5">
        <f t="shared" si="7"/>
        <v>118726350.25999992</v>
      </c>
    </row>
    <row r="480" spans="1:17" x14ac:dyDescent="0.3">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c r="Q480" s="5">
        <f t="shared" si="7"/>
        <v>118726350.25999992</v>
      </c>
    </row>
    <row r="481" spans="1:17" x14ac:dyDescent="0.3">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c r="Q481" s="5">
        <f t="shared" si="7"/>
        <v>118726350.25999992</v>
      </c>
    </row>
    <row r="482" spans="1:17" x14ac:dyDescent="0.3">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c r="Q482" s="5">
        <f t="shared" si="7"/>
        <v>118726350.25999992</v>
      </c>
    </row>
    <row r="483" spans="1:17" x14ac:dyDescent="0.3">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c r="Q483" s="5">
        <f t="shared" si="7"/>
        <v>118726350.25999992</v>
      </c>
    </row>
    <row r="484" spans="1:17" x14ac:dyDescent="0.3">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c r="Q484" s="5">
        <f t="shared" si="7"/>
        <v>118726350.25999992</v>
      </c>
    </row>
    <row r="485" spans="1:17" x14ac:dyDescent="0.3">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c r="Q485" s="5">
        <f t="shared" si="7"/>
        <v>118726350.25999992</v>
      </c>
    </row>
    <row r="486" spans="1:17" x14ac:dyDescent="0.3">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c r="Q486" s="5">
        <f t="shared" si="7"/>
        <v>118726350.25999992</v>
      </c>
    </row>
    <row r="487" spans="1:17" x14ac:dyDescent="0.3">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c r="Q487" s="5">
        <f t="shared" si="7"/>
        <v>118726350.25999992</v>
      </c>
    </row>
    <row r="488" spans="1:17" x14ac:dyDescent="0.3">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c r="Q488" s="5">
        <f t="shared" si="7"/>
        <v>118726350.25999992</v>
      </c>
    </row>
    <row r="489" spans="1:17" x14ac:dyDescent="0.3">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c r="Q489" s="5">
        <f t="shared" si="7"/>
        <v>118726350.25999992</v>
      </c>
    </row>
    <row r="490" spans="1:17" x14ac:dyDescent="0.3">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c r="Q490" s="5">
        <f t="shared" si="7"/>
        <v>118726350.25999992</v>
      </c>
    </row>
    <row r="491" spans="1:17" x14ac:dyDescent="0.3">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c r="Q491" s="5">
        <f t="shared" si="7"/>
        <v>118726350.25999992</v>
      </c>
    </row>
    <row r="492" spans="1:17" x14ac:dyDescent="0.3">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c r="Q492" s="5">
        <f t="shared" si="7"/>
        <v>118726350.25999992</v>
      </c>
    </row>
    <row r="493" spans="1:17" x14ac:dyDescent="0.3">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c r="Q493" s="5">
        <f t="shared" si="7"/>
        <v>118726350.25999992</v>
      </c>
    </row>
    <row r="494" spans="1:17" x14ac:dyDescent="0.3">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c r="Q494" s="5">
        <f t="shared" si="7"/>
        <v>118726350.25999992</v>
      </c>
    </row>
    <row r="495" spans="1:17" x14ac:dyDescent="0.3">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c r="Q495" s="5">
        <f t="shared" si="7"/>
        <v>118726350.25999992</v>
      </c>
    </row>
    <row r="496" spans="1:17" x14ac:dyDescent="0.3">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c r="Q496" s="5">
        <f t="shared" si="7"/>
        <v>118726350.25999992</v>
      </c>
    </row>
    <row r="497" spans="1:17" x14ac:dyDescent="0.3">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c r="Q497" s="5">
        <f t="shared" si="7"/>
        <v>118726350.25999992</v>
      </c>
    </row>
    <row r="498" spans="1:17" x14ac:dyDescent="0.3">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c r="Q498" s="5">
        <f t="shared" si="7"/>
        <v>118726350.25999992</v>
      </c>
    </row>
    <row r="499" spans="1:17" x14ac:dyDescent="0.3">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c r="Q499" s="5">
        <f t="shared" si="7"/>
        <v>118726350.25999992</v>
      </c>
    </row>
    <row r="500" spans="1:17" x14ac:dyDescent="0.3">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c r="Q500" s="5">
        <f t="shared" si="7"/>
        <v>118726350.25999992</v>
      </c>
    </row>
    <row r="501" spans="1:17" x14ac:dyDescent="0.3">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c r="Q501" s="5">
        <f t="shared" si="7"/>
        <v>118726350.25999992</v>
      </c>
    </row>
    <row r="502" spans="1:17" x14ac:dyDescent="0.3">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c r="Q502" s="5">
        <f t="shared" si="7"/>
        <v>118726350.25999992</v>
      </c>
    </row>
    <row r="503" spans="1:17" x14ac:dyDescent="0.3">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c r="Q503" s="5">
        <f t="shared" si="7"/>
        <v>118726350.25999992</v>
      </c>
    </row>
    <row r="504" spans="1:17" x14ac:dyDescent="0.3">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c r="Q504" s="5">
        <f t="shared" si="7"/>
        <v>118726350.25999992</v>
      </c>
    </row>
    <row r="505" spans="1:17" x14ac:dyDescent="0.3">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c r="Q505" s="5">
        <f t="shared" si="7"/>
        <v>118726350.25999992</v>
      </c>
    </row>
    <row r="506" spans="1:17" x14ac:dyDescent="0.3">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c r="Q506" s="5">
        <f t="shared" si="7"/>
        <v>118726350.25999992</v>
      </c>
    </row>
    <row r="507" spans="1:17" x14ac:dyDescent="0.3">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c r="Q507" s="5">
        <f t="shared" si="7"/>
        <v>118726350.25999992</v>
      </c>
    </row>
    <row r="508" spans="1:17" x14ac:dyDescent="0.3">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c r="Q508" s="5">
        <f t="shared" si="7"/>
        <v>118726350.25999992</v>
      </c>
    </row>
    <row r="509" spans="1:17" x14ac:dyDescent="0.3">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c r="Q509" s="5">
        <f t="shared" si="7"/>
        <v>118726350.25999992</v>
      </c>
    </row>
    <row r="510" spans="1:17" x14ac:dyDescent="0.3">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c r="Q510" s="5">
        <f t="shared" si="7"/>
        <v>118726350.25999992</v>
      </c>
    </row>
    <row r="511" spans="1:17" x14ac:dyDescent="0.3">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c r="Q511" s="5">
        <f t="shared" si="7"/>
        <v>118726350.25999992</v>
      </c>
    </row>
    <row r="512" spans="1:17" x14ac:dyDescent="0.3">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c r="Q512" s="5">
        <f t="shared" si="7"/>
        <v>118726350.25999992</v>
      </c>
    </row>
    <row r="513" spans="1:17" x14ac:dyDescent="0.3">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c r="Q513" s="5">
        <f t="shared" si="7"/>
        <v>118726350.25999992</v>
      </c>
    </row>
    <row r="514" spans="1:17" x14ac:dyDescent="0.3">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c r="Q514" s="5">
        <f t="shared" ref="Q514:Q577" si="8">SUM(J:J)</f>
        <v>118726350.25999992</v>
      </c>
    </row>
    <row r="515" spans="1:17" x14ac:dyDescent="0.3">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c r="Q515" s="5">
        <f t="shared" si="8"/>
        <v>118726350.25999992</v>
      </c>
    </row>
    <row r="516" spans="1:17" x14ac:dyDescent="0.3">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c r="Q516" s="5">
        <f t="shared" si="8"/>
        <v>118726350.25999992</v>
      </c>
    </row>
    <row r="517" spans="1:17" x14ac:dyDescent="0.3">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c r="Q517" s="5">
        <f t="shared" si="8"/>
        <v>118726350.25999992</v>
      </c>
    </row>
    <row r="518" spans="1:17" x14ac:dyDescent="0.3">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c r="Q518" s="5">
        <f t="shared" si="8"/>
        <v>118726350.25999992</v>
      </c>
    </row>
    <row r="519" spans="1:17" x14ac:dyDescent="0.3">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c r="Q519" s="5">
        <f t="shared" si="8"/>
        <v>118726350.25999992</v>
      </c>
    </row>
    <row r="520" spans="1:17" x14ac:dyDescent="0.3">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c r="Q520" s="5">
        <f t="shared" si="8"/>
        <v>118726350.25999992</v>
      </c>
    </row>
    <row r="521" spans="1:17" x14ac:dyDescent="0.3">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c r="Q521" s="5">
        <f t="shared" si="8"/>
        <v>118726350.25999992</v>
      </c>
    </row>
    <row r="522" spans="1:17" x14ac:dyDescent="0.3">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c r="Q522" s="5">
        <f t="shared" si="8"/>
        <v>118726350.25999992</v>
      </c>
    </row>
    <row r="523" spans="1:17" x14ac:dyDescent="0.3">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c r="Q523" s="5">
        <f t="shared" si="8"/>
        <v>118726350.25999992</v>
      </c>
    </row>
    <row r="524" spans="1:17" x14ac:dyDescent="0.3">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c r="Q524" s="5">
        <f t="shared" si="8"/>
        <v>118726350.25999992</v>
      </c>
    </row>
    <row r="525" spans="1:17" x14ac:dyDescent="0.3">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c r="Q525" s="5">
        <f t="shared" si="8"/>
        <v>118726350.25999992</v>
      </c>
    </row>
    <row r="526" spans="1:17" x14ac:dyDescent="0.3">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c r="Q526" s="5">
        <f t="shared" si="8"/>
        <v>118726350.25999992</v>
      </c>
    </row>
    <row r="527" spans="1:17" x14ac:dyDescent="0.3">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c r="Q527" s="5">
        <f t="shared" si="8"/>
        <v>118726350.25999992</v>
      </c>
    </row>
    <row r="528" spans="1:17" x14ac:dyDescent="0.3">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c r="Q528" s="5">
        <f t="shared" si="8"/>
        <v>118726350.25999992</v>
      </c>
    </row>
    <row r="529" spans="1:17" x14ac:dyDescent="0.3">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c r="Q529" s="5">
        <f t="shared" si="8"/>
        <v>118726350.25999992</v>
      </c>
    </row>
    <row r="530" spans="1:17" x14ac:dyDescent="0.3">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c r="Q530" s="5">
        <f t="shared" si="8"/>
        <v>118726350.25999992</v>
      </c>
    </row>
    <row r="531" spans="1:17" x14ac:dyDescent="0.3">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c r="Q531" s="5">
        <f t="shared" si="8"/>
        <v>118726350.25999992</v>
      </c>
    </row>
    <row r="532" spans="1:17" x14ac:dyDescent="0.3">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c r="Q532" s="5">
        <f t="shared" si="8"/>
        <v>118726350.25999992</v>
      </c>
    </row>
    <row r="533" spans="1:17" x14ac:dyDescent="0.3">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c r="Q533" s="5">
        <f t="shared" si="8"/>
        <v>118726350.25999992</v>
      </c>
    </row>
    <row r="534" spans="1:17" x14ac:dyDescent="0.3">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c r="Q534" s="5">
        <f t="shared" si="8"/>
        <v>118726350.25999992</v>
      </c>
    </row>
    <row r="535" spans="1:17" x14ac:dyDescent="0.3">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c r="Q535" s="5">
        <f t="shared" si="8"/>
        <v>118726350.25999992</v>
      </c>
    </row>
    <row r="536" spans="1:17" x14ac:dyDescent="0.3">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c r="Q536" s="5">
        <f t="shared" si="8"/>
        <v>118726350.25999992</v>
      </c>
    </row>
    <row r="537" spans="1:17" x14ac:dyDescent="0.3">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c r="Q537" s="5">
        <f t="shared" si="8"/>
        <v>118726350.25999992</v>
      </c>
    </row>
    <row r="538" spans="1:17" x14ac:dyDescent="0.3">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c r="Q538" s="5">
        <f t="shared" si="8"/>
        <v>118726350.25999992</v>
      </c>
    </row>
    <row r="539" spans="1:17" x14ac:dyDescent="0.3">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c r="Q539" s="5">
        <f t="shared" si="8"/>
        <v>118726350.25999992</v>
      </c>
    </row>
    <row r="540" spans="1:17" x14ac:dyDescent="0.3">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c r="Q540" s="5">
        <f t="shared" si="8"/>
        <v>118726350.25999992</v>
      </c>
    </row>
    <row r="541" spans="1:17" x14ac:dyDescent="0.3">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c r="Q541" s="5">
        <f t="shared" si="8"/>
        <v>118726350.25999992</v>
      </c>
    </row>
    <row r="542" spans="1:17" x14ac:dyDescent="0.3">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c r="Q542" s="5">
        <f t="shared" si="8"/>
        <v>118726350.25999992</v>
      </c>
    </row>
    <row r="543" spans="1:17" x14ac:dyDescent="0.3">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c r="Q543" s="5">
        <f t="shared" si="8"/>
        <v>118726350.25999992</v>
      </c>
    </row>
    <row r="544" spans="1:17" x14ac:dyDescent="0.3">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c r="Q544" s="5">
        <f t="shared" si="8"/>
        <v>118726350.25999992</v>
      </c>
    </row>
    <row r="545" spans="1:17" x14ac:dyDescent="0.3">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c r="Q545" s="5">
        <f t="shared" si="8"/>
        <v>118726350.25999992</v>
      </c>
    </row>
    <row r="546" spans="1:17" x14ac:dyDescent="0.3">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c r="Q546" s="5">
        <f t="shared" si="8"/>
        <v>118726350.25999992</v>
      </c>
    </row>
    <row r="547" spans="1:17" x14ac:dyDescent="0.3">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c r="Q547" s="5">
        <f t="shared" si="8"/>
        <v>118726350.25999992</v>
      </c>
    </row>
    <row r="548" spans="1:17" x14ac:dyDescent="0.3">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c r="Q548" s="5">
        <f t="shared" si="8"/>
        <v>118726350.25999992</v>
      </c>
    </row>
    <row r="549" spans="1:17" x14ac:dyDescent="0.3">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c r="Q549" s="5">
        <f t="shared" si="8"/>
        <v>118726350.25999992</v>
      </c>
    </row>
    <row r="550" spans="1:17" x14ac:dyDescent="0.3">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c r="Q550" s="5">
        <f t="shared" si="8"/>
        <v>118726350.25999992</v>
      </c>
    </row>
    <row r="551" spans="1:17" x14ac:dyDescent="0.3">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c r="Q551" s="5">
        <f t="shared" si="8"/>
        <v>118726350.25999992</v>
      </c>
    </row>
    <row r="552" spans="1:17" x14ac:dyDescent="0.3">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c r="Q552" s="5">
        <f t="shared" si="8"/>
        <v>118726350.25999992</v>
      </c>
    </row>
    <row r="553" spans="1:17" x14ac:dyDescent="0.3">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c r="Q553" s="5">
        <f t="shared" si="8"/>
        <v>118726350.25999992</v>
      </c>
    </row>
    <row r="554" spans="1:17" x14ac:dyDescent="0.3">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c r="Q554" s="5">
        <f t="shared" si="8"/>
        <v>118726350.25999992</v>
      </c>
    </row>
    <row r="555" spans="1:17" x14ac:dyDescent="0.3">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c r="Q555" s="5">
        <f t="shared" si="8"/>
        <v>118726350.25999992</v>
      </c>
    </row>
    <row r="556" spans="1:17" x14ac:dyDescent="0.3">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c r="Q556" s="5">
        <f t="shared" si="8"/>
        <v>118726350.25999992</v>
      </c>
    </row>
    <row r="557" spans="1:17" x14ac:dyDescent="0.3">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c r="Q557" s="5">
        <f t="shared" si="8"/>
        <v>118726350.25999992</v>
      </c>
    </row>
    <row r="558" spans="1:17" x14ac:dyDescent="0.3">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c r="Q558" s="5">
        <f t="shared" si="8"/>
        <v>118726350.25999992</v>
      </c>
    </row>
    <row r="559" spans="1:17" x14ac:dyDescent="0.3">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c r="Q559" s="5">
        <f t="shared" si="8"/>
        <v>118726350.25999992</v>
      </c>
    </row>
    <row r="560" spans="1:17" x14ac:dyDescent="0.3">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c r="Q560" s="5">
        <f t="shared" si="8"/>
        <v>118726350.25999992</v>
      </c>
    </row>
    <row r="561" spans="1:17" x14ac:dyDescent="0.3">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c r="Q561" s="5">
        <f t="shared" si="8"/>
        <v>118726350.25999992</v>
      </c>
    </row>
    <row r="562" spans="1:17" x14ac:dyDescent="0.3">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c r="Q562" s="5">
        <f t="shared" si="8"/>
        <v>118726350.25999992</v>
      </c>
    </row>
    <row r="563" spans="1:17" x14ac:dyDescent="0.3">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c r="Q563" s="5">
        <f t="shared" si="8"/>
        <v>118726350.25999992</v>
      </c>
    </row>
    <row r="564" spans="1:17" x14ac:dyDescent="0.3">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c r="Q564" s="5">
        <f t="shared" si="8"/>
        <v>118726350.25999992</v>
      </c>
    </row>
    <row r="565" spans="1:17" x14ac:dyDescent="0.3">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c r="Q565" s="5">
        <f t="shared" si="8"/>
        <v>118726350.25999992</v>
      </c>
    </row>
    <row r="566" spans="1:17" x14ac:dyDescent="0.3">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c r="Q566" s="5">
        <f t="shared" si="8"/>
        <v>118726350.25999992</v>
      </c>
    </row>
    <row r="567" spans="1:17" x14ac:dyDescent="0.3">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c r="Q567" s="5">
        <f t="shared" si="8"/>
        <v>118726350.25999992</v>
      </c>
    </row>
    <row r="568" spans="1:17" x14ac:dyDescent="0.3">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c r="Q568" s="5">
        <f t="shared" si="8"/>
        <v>118726350.25999992</v>
      </c>
    </row>
    <row r="569" spans="1:17" x14ac:dyDescent="0.3">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c r="Q569" s="5">
        <f t="shared" si="8"/>
        <v>118726350.25999992</v>
      </c>
    </row>
    <row r="570" spans="1:17" x14ac:dyDescent="0.3">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c r="Q570" s="5">
        <f t="shared" si="8"/>
        <v>118726350.25999992</v>
      </c>
    </row>
    <row r="571" spans="1:17" x14ac:dyDescent="0.3">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c r="Q571" s="5">
        <f t="shared" si="8"/>
        <v>118726350.25999992</v>
      </c>
    </row>
    <row r="572" spans="1:17" x14ac:dyDescent="0.3">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c r="Q572" s="5">
        <f t="shared" si="8"/>
        <v>118726350.25999992</v>
      </c>
    </row>
    <row r="573" spans="1:17" x14ac:dyDescent="0.3">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c r="Q573" s="5">
        <f t="shared" si="8"/>
        <v>118726350.25999992</v>
      </c>
    </row>
    <row r="574" spans="1:17" x14ac:dyDescent="0.3">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c r="Q574" s="5">
        <f t="shared" si="8"/>
        <v>118726350.25999992</v>
      </c>
    </row>
    <row r="575" spans="1:17" x14ac:dyDescent="0.3">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c r="Q575" s="5">
        <f t="shared" si="8"/>
        <v>118726350.25999992</v>
      </c>
    </row>
    <row r="576" spans="1:17" x14ac:dyDescent="0.3">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c r="Q576" s="5">
        <f t="shared" si="8"/>
        <v>118726350.25999992</v>
      </c>
    </row>
    <row r="577" spans="1:17" x14ac:dyDescent="0.3">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c r="Q577" s="5">
        <f t="shared" si="8"/>
        <v>118726350.25999992</v>
      </c>
    </row>
    <row r="578" spans="1:17" x14ac:dyDescent="0.3">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c r="Q578" s="5">
        <f t="shared" ref="Q578:Q641" si="9">SUM(J:J)</f>
        <v>118726350.25999992</v>
      </c>
    </row>
    <row r="579" spans="1:17" x14ac:dyDescent="0.3">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c r="Q579" s="5">
        <f t="shared" si="9"/>
        <v>118726350.25999992</v>
      </c>
    </row>
    <row r="580" spans="1:17" x14ac:dyDescent="0.3">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c r="Q580" s="5">
        <f t="shared" si="9"/>
        <v>118726350.25999992</v>
      </c>
    </row>
    <row r="581" spans="1:17" x14ac:dyDescent="0.3">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c r="Q581" s="5">
        <f t="shared" si="9"/>
        <v>118726350.25999992</v>
      </c>
    </row>
    <row r="582" spans="1:17" x14ac:dyDescent="0.3">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c r="Q582" s="5">
        <f t="shared" si="9"/>
        <v>118726350.25999992</v>
      </c>
    </row>
    <row r="583" spans="1:17" x14ac:dyDescent="0.3">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c r="Q583" s="5">
        <f t="shared" si="9"/>
        <v>118726350.25999992</v>
      </c>
    </row>
    <row r="584" spans="1:17" x14ac:dyDescent="0.3">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c r="Q584" s="5">
        <f t="shared" si="9"/>
        <v>118726350.25999992</v>
      </c>
    </row>
    <row r="585" spans="1:17" x14ac:dyDescent="0.3">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c r="Q585" s="5">
        <f t="shared" si="9"/>
        <v>118726350.25999992</v>
      </c>
    </row>
    <row r="586" spans="1:17" x14ac:dyDescent="0.3">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c r="Q586" s="5">
        <f t="shared" si="9"/>
        <v>118726350.25999992</v>
      </c>
    </row>
    <row r="587" spans="1:17" x14ac:dyDescent="0.3">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c r="Q587" s="5">
        <f t="shared" si="9"/>
        <v>118726350.25999992</v>
      </c>
    </row>
    <row r="588" spans="1:17" x14ac:dyDescent="0.3">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c r="Q588" s="5">
        <f t="shared" si="9"/>
        <v>118726350.25999992</v>
      </c>
    </row>
    <row r="589" spans="1:17" x14ac:dyDescent="0.3">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c r="Q589" s="5">
        <f t="shared" si="9"/>
        <v>118726350.25999992</v>
      </c>
    </row>
    <row r="590" spans="1:17" x14ac:dyDescent="0.3">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c r="Q590" s="5">
        <f t="shared" si="9"/>
        <v>118726350.25999992</v>
      </c>
    </row>
    <row r="591" spans="1:17" x14ac:dyDescent="0.3">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c r="Q591" s="5">
        <f t="shared" si="9"/>
        <v>118726350.25999992</v>
      </c>
    </row>
    <row r="592" spans="1:17" x14ac:dyDescent="0.3">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c r="Q592" s="5">
        <f t="shared" si="9"/>
        <v>118726350.25999992</v>
      </c>
    </row>
    <row r="593" spans="1:17" x14ac:dyDescent="0.3">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c r="Q593" s="5">
        <f t="shared" si="9"/>
        <v>118726350.25999992</v>
      </c>
    </row>
    <row r="594" spans="1:17" x14ac:dyDescent="0.3">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c r="Q594" s="5">
        <f t="shared" si="9"/>
        <v>118726350.25999992</v>
      </c>
    </row>
    <row r="595" spans="1:17" x14ac:dyDescent="0.3">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c r="Q595" s="5">
        <f t="shared" si="9"/>
        <v>118726350.25999992</v>
      </c>
    </row>
    <row r="596" spans="1:17" x14ac:dyDescent="0.3">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c r="Q596" s="5">
        <f t="shared" si="9"/>
        <v>118726350.25999992</v>
      </c>
    </row>
    <row r="597" spans="1:17" x14ac:dyDescent="0.3">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c r="Q597" s="5">
        <f t="shared" si="9"/>
        <v>118726350.25999992</v>
      </c>
    </row>
    <row r="598" spans="1:17" x14ac:dyDescent="0.3">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c r="Q598" s="5">
        <f t="shared" si="9"/>
        <v>118726350.25999992</v>
      </c>
    </row>
    <row r="599" spans="1:17" x14ac:dyDescent="0.3">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c r="Q599" s="5">
        <f t="shared" si="9"/>
        <v>118726350.25999992</v>
      </c>
    </row>
    <row r="600" spans="1:17" x14ac:dyDescent="0.3">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c r="Q600" s="5">
        <f t="shared" si="9"/>
        <v>118726350.25999992</v>
      </c>
    </row>
    <row r="601" spans="1:17" x14ac:dyDescent="0.3">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c r="Q601" s="5">
        <f t="shared" si="9"/>
        <v>118726350.25999992</v>
      </c>
    </row>
    <row r="602" spans="1:17" x14ac:dyDescent="0.3">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c r="Q602" s="5">
        <f t="shared" si="9"/>
        <v>118726350.25999992</v>
      </c>
    </row>
    <row r="603" spans="1:17" x14ac:dyDescent="0.3">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c r="Q603" s="5">
        <f t="shared" si="9"/>
        <v>118726350.25999992</v>
      </c>
    </row>
    <row r="604" spans="1:17" x14ac:dyDescent="0.3">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c r="Q604" s="5">
        <f t="shared" si="9"/>
        <v>118726350.25999992</v>
      </c>
    </row>
    <row r="605" spans="1:17" x14ac:dyDescent="0.3">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c r="Q605" s="5">
        <f t="shared" si="9"/>
        <v>118726350.25999992</v>
      </c>
    </row>
    <row r="606" spans="1:17" x14ac:dyDescent="0.3">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c r="Q606" s="5">
        <f t="shared" si="9"/>
        <v>118726350.25999992</v>
      </c>
    </row>
    <row r="607" spans="1:17" x14ac:dyDescent="0.3">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c r="Q607" s="5">
        <f t="shared" si="9"/>
        <v>118726350.25999992</v>
      </c>
    </row>
    <row r="608" spans="1:17" x14ac:dyDescent="0.3">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c r="Q608" s="5">
        <f t="shared" si="9"/>
        <v>118726350.25999992</v>
      </c>
    </row>
    <row r="609" spans="1:17" x14ac:dyDescent="0.3">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c r="Q609" s="5">
        <f t="shared" si="9"/>
        <v>118726350.25999992</v>
      </c>
    </row>
    <row r="610" spans="1:17" x14ac:dyDescent="0.3">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c r="Q610" s="5">
        <f t="shared" si="9"/>
        <v>118726350.25999992</v>
      </c>
    </row>
    <row r="611" spans="1:17" x14ac:dyDescent="0.3">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c r="Q611" s="5">
        <f t="shared" si="9"/>
        <v>118726350.25999992</v>
      </c>
    </row>
    <row r="612" spans="1:17" x14ac:dyDescent="0.3">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c r="Q612" s="5">
        <f t="shared" si="9"/>
        <v>118726350.25999992</v>
      </c>
    </row>
    <row r="613" spans="1:17" x14ac:dyDescent="0.3">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c r="Q613" s="5">
        <f t="shared" si="9"/>
        <v>118726350.25999992</v>
      </c>
    </row>
    <row r="614" spans="1:17" x14ac:dyDescent="0.3">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c r="Q614" s="5">
        <f t="shared" si="9"/>
        <v>118726350.25999992</v>
      </c>
    </row>
    <row r="615" spans="1:17" x14ac:dyDescent="0.3">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c r="Q615" s="5">
        <f t="shared" si="9"/>
        <v>118726350.25999992</v>
      </c>
    </row>
    <row r="616" spans="1:17" x14ac:dyDescent="0.3">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c r="Q616" s="5">
        <f t="shared" si="9"/>
        <v>118726350.25999992</v>
      </c>
    </row>
    <row r="617" spans="1:17" x14ac:dyDescent="0.3">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c r="Q617" s="5">
        <f t="shared" si="9"/>
        <v>118726350.25999992</v>
      </c>
    </row>
    <row r="618" spans="1:17" x14ac:dyDescent="0.3">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c r="Q618" s="5">
        <f t="shared" si="9"/>
        <v>118726350.25999992</v>
      </c>
    </row>
    <row r="619" spans="1:17" x14ac:dyDescent="0.3">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c r="Q619" s="5">
        <f t="shared" si="9"/>
        <v>118726350.25999992</v>
      </c>
    </row>
    <row r="620" spans="1:17" x14ac:dyDescent="0.3">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c r="Q620" s="5">
        <f t="shared" si="9"/>
        <v>118726350.25999992</v>
      </c>
    </row>
    <row r="621" spans="1:17" x14ac:dyDescent="0.3">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c r="Q621" s="5">
        <f t="shared" si="9"/>
        <v>118726350.25999992</v>
      </c>
    </row>
    <row r="622" spans="1:17" x14ac:dyDescent="0.3">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c r="Q622" s="5">
        <f t="shared" si="9"/>
        <v>118726350.25999992</v>
      </c>
    </row>
    <row r="623" spans="1:17" x14ac:dyDescent="0.3">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c r="Q623" s="5">
        <f t="shared" si="9"/>
        <v>118726350.25999992</v>
      </c>
    </row>
    <row r="624" spans="1:17" x14ac:dyDescent="0.3">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c r="Q624" s="5">
        <f t="shared" si="9"/>
        <v>118726350.25999992</v>
      </c>
    </row>
    <row r="625" spans="1:17" x14ac:dyDescent="0.3">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c r="Q625" s="5">
        <f t="shared" si="9"/>
        <v>118726350.25999992</v>
      </c>
    </row>
    <row r="626" spans="1:17" x14ac:dyDescent="0.3">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c r="Q626" s="5">
        <f t="shared" si="9"/>
        <v>118726350.25999992</v>
      </c>
    </row>
    <row r="627" spans="1:17" x14ac:dyDescent="0.3">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c r="Q627" s="5">
        <f t="shared" si="9"/>
        <v>118726350.25999992</v>
      </c>
    </row>
    <row r="628" spans="1:17" x14ac:dyDescent="0.3">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c r="Q628" s="5">
        <f t="shared" si="9"/>
        <v>118726350.25999992</v>
      </c>
    </row>
    <row r="629" spans="1:17" x14ac:dyDescent="0.3">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c r="Q629" s="5">
        <f t="shared" si="9"/>
        <v>118726350.25999992</v>
      </c>
    </row>
    <row r="630" spans="1:17" x14ac:dyDescent="0.3">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c r="Q630" s="5">
        <f t="shared" si="9"/>
        <v>118726350.25999992</v>
      </c>
    </row>
    <row r="631" spans="1:17" x14ac:dyDescent="0.3">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c r="Q631" s="5">
        <f t="shared" si="9"/>
        <v>118726350.25999992</v>
      </c>
    </row>
    <row r="632" spans="1:17" x14ac:dyDescent="0.3">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c r="Q632" s="5">
        <f t="shared" si="9"/>
        <v>118726350.25999992</v>
      </c>
    </row>
    <row r="633" spans="1:17" x14ac:dyDescent="0.3">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c r="Q633" s="5">
        <f t="shared" si="9"/>
        <v>118726350.25999992</v>
      </c>
    </row>
    <row r="634" spans="1:17" x14ac:dyDescent="0.3">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c r="Q634" s="5">
        <f t="shared" si="9"/>
        <v>118726350.25999992</v>
      </c>
    </row>
    <row r="635" spans="1:17" x14ac:dyDescent="0.3">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c r="Q635" s="5">
        <f t="shared" si="9"/>
        <v>118726350.25999992</v>
      </c>
    </row>
    <row r="636" spans="1:17" x14ac:dyDescent="0.3">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c r="Q636" s="5">
        <f t="shared" si="9"/>
        <v>118726350.25999992</v>
      </c>
    </row>
    <row r="637" spans="1:17" x14ac:dyDescent="0.3">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c r="Q637" s="5">
        <f t="shared" si="9"/>
        <v>118726350.25999992</v>
      </c>
    </row>
    <row r="638" spans="1:17" x14ac:dyDescent="0.3">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c r="Q638" s="5">
        <f t="shared" si="9"/>
        <v>118726350.25999992</v>
      </c>
    </row>
    <row r="639" spans="1:17" x14ac:dyDescent="0.3">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c r="Q639" s="5">
        <f t="shared" si="9"/>
        <v>118726350.25999992</v>
      </c>
    </row>
    <row r="640" spans="1:17" x14ac:dyDescent="0.3">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c r="Q640" s="5">
        <f t="shared" si="9"/>
        <v>118726350.25999992</v>
      </c>
    </row>
    <row r="641" spans="1:17" x14ac:dyDescent="0.3">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c r="Q641" s="5">
        <f t="shared" si="9"/>
        <v>118726350.25999992</v>
      </c>
    </row>
    <row r="642" spans="1:17" x14ac:dyDescent="0.3">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c r="Q642" s="5">
        <f t="shared" ref="Q642:Q701" si="10">SUM(J:J)</f>
        <v>118726350.25999992</v>
      </c>
    </row>
    <row r="643" spans="1:17" x14ac:dyDescent="0.3">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c r="Q643" s="5">
        <f t="shared" si="10"/>
        <v>118726350.25999992</v>
      </c>
    </row>
    <row r="644" spans="1:17" x14ac:dyDescent="0.3">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c r="Q644" s="5">
        <f t="shared" si="10"/>
        <v>118726350.25999992</v>
      </c>
    </row>
    <row r="645" spans="1:17" x14ac:dyDescent="0.3">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c r="Q645" s="5">
        <f t="shared" si="10"/>
        <v>118726350.25999992</v>
      </c>
    </row>
    <row r="646" spans="1:17" x14ac:dyDescent="0.3">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c r="Q646" s="5">
        <f t="shared" si="10"/>
        <v>118726350.25999992</v>
      </c>
    </row>
    <row r="647" spans="1:17" x14ac:dyDescent="0.3">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c r="Q647" s="5">
        <f t="shared" si="10"/>
        <v>118726350.25999992</v>
      </c>
    </row>
    <row r="648" spans="1:17" x14ac:dyDescent="0.3">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c r="Q648" s="5">
        <f t="shared" si="10"/>
        <v>118726350.25999992</v>
      </c>
    </row>
    <row r="649" spans="1:17" x14ac:dyDescent="0.3">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c r="Q649" s="5">
        <f t="shared" si="10"/>
        <v>118726350.25999992</v>
      </c>
    </row>
    <row r="650" spans="1:17" x14ac:dyDescent="0.3">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c r="Q650" s="5">
        <f t="shared" si="10"/>
        <v>118726350.25999992</v>
      </c>
    </row>
    <row r="651" spans="1:17" x14ac:dyDescent="0.3">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c r="Q651" s="5">
        <f t="shared" si="10"/>
        <v>118726350.25999992</v>
      </c>
    </row>
    <row r="652" spans="1:17" x14ac:dyDescent="0.3">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c r="Q652" s="5">
        <f t="shared" si="10"/>
        <v>118726350.25999992</v>
      </c>
    </row>
    <row r="653" spans="1:17" x14ac:dyDescent="0.3">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c r="Q653" s="5">
        <f t="shared" si="10"/>
        <v>118726350.25999992</v>
      </c>
    </row>
    <row r="654" spans="1:17" x14ac:dyDescent="0.3">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c r="Q654" s="5">
        <f t="shared" si="10"/>
        <v>118726350.25999992</v>
      </c>
    </row>
    <row r="655" spans="1:17" x14ac:dyDescent="0.3">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c r="Q655" s="5">
        <f t="shared" si="10"/>
        <v>118726350.25999992</v>
      </c>
    </row>
    <row r="656" spans="1:17" x14ac:dyDescent="0.3">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c r="Q656" s="5">
        <f t="shared" si="10"/>
        <v>118726350.25999992</v>
      </c>
    </row>
    <row r="657" spans="1:17" x14ac:dyDescent="0.3">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c r="Q657" s="5">
        <f t="shared" si="10"/>
        <v>118726350.25999992</v>
      </c>
    </row>
    <row r="658" spans="1:17" x14ac:dyDescent="0.3">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c r="Q658" s="5">
        <f t="shared" si="10"/>
        <v>118726350.25999992</v>
      </c>
    </row>
    <row r="659" spans="1:17" x14ac:dyDescent="0.3">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c r="Q659" s="5">
        <f t="shared" si="10"/>
        <v>118726350.25999992</v>
      </c>
    </row>
    <row r="660" spans="1:17" x14ac:dyDescent="0.3">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c r="Q660" s="5">
        <f t="shared" si="10"/>
        <v>118726350.25999992</v>
      </c>
    </row>
    <row r="661" spans="1:17" x14ac:dyDescent="0.3">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c r="Q661" s="5">
        <f t="shared" si="10"/>
        <v>118726350.25999992</v>
      </c>
    </row>
    <row r="662" spans="1:17" x14ac:dyDescent="0.3">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c r="Q662" s="5">
        <f t="shared" si="10"/>
        <v>118726350.25999992</v>
      </c>
    </row>
    <row r="663" spans="1:17" x14ac:dyDescent="0.3">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c r="Q663" s="5">
        <f t="shared" si="10"/>
        <v>118726350.25999992</v>
      </c>
    </row>
    <row r="664" spans="1:17" x14ac:dyDescent="0.3">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c r="Q664" s="5">
        <f t="shared" si="10"/>
        <v>118726350.25999992</v>
      </c>
    </row>
    <row r="665" spans="1:17" x14ac:dyDescent="0.3">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c r="Q665" s="5">
        <f t="shared" si="10"/>
        <v>118726350.25999992</v>
      </c>
    </row>
    <row r="666" spans="1:17" x14ac:dyDescent="0.3">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c r="Q666" s="5">
        <f t="shared" si="10"/>
        <v>118726350.25999992</v>
      </c>
    </row>
    <row r="667" spans="1:17" x14ac:dyDescent="0.3">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c r="Q667" s="5">
        <f t="shared" si="10"/>
        <v>118726350.25999992</v>
      </c>
    </row>
    <row r="668" spans="1:17" x14ac:dyDescent="0.3">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c r="Q668" s="5">
        <f t="shared" si="10"/>
        <v>118726350.25999992</v>
      </c>
    </row>
    <row r="669" spans="1:17" x14ac:dyDescent="0.3">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c r="Q669" s="5">
        <f t="shared" si="10"/>
        <v>118726350.25999992</v>
      </c>
    </row>
    <row r="670" spans="1:17" x14ac:dyDescent="0.3">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c r="Q670" s="5">
        <f t="shared" si="10"/>
        <v>118726350.25999992</v>
      </c>
    </row>
    <row r="671" spans="1:17" x14ac:dyDescent="0.3">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c r="Q671" s="5">
        <f t="shared" si="10"/>
        <v>118726350.25999992</v>
      </c>
    </row>
    <row r="672" spans="1:17" x14ac:dyDescent="0.3">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c r="Q672" s="5">
        <f t="shared" si="10"/>
        <v>118726350.25999992</v>
      </c>
    </row>
    <row r="673" spans="1:17" x14ac:dyDescent="0.3">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c r="Q673" s="5">
        <f t="shared" si="10"/>
        <v>118726350.25999992</v>
      </c>
    </row>
    <row r="674" spans="1:17" x14ac:dyDescent="0.3">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c r="Q674" s="5">
        <f t="shared" si="10"/>
        <v>118726350.25999992</v>
      </c>
    </row>
    <row r="675" spans="1:17" x14ac:dyDescent="0.3">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c r="Q675" s="5">
        <f t="shared" si="10"/>
        <v>118726350.25999992</v>
      </c>
    </row>
    <row r="676" spans="1:17" x14ac:dyDescent="0.3">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c r="Q676" s="5">
        <f t="shared" si="10"/>
        <v>118726350.25999992</v>
      </c>
    </row>
    <row r="677" spans="1:17" x14ac:dyDescent="0.3">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c r="Q677" s="5">
        <f t="shared" si="10"/>
        <v>118726350.25999992</v>
      </c>
    </row>
    <row r="678" spans="1:17" x14ac:dyDescent="0.3">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c r="Q678" s="5">
        <f t="shared" si="10"/>
        <v>118726350.25999992</v>
      </c>
    </row>
    <row r="679" spans="1:17" x14ac:dyDescent="0.3">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c r="Q679" s="5">
        <f t="shared" si="10"/>
        <v>118726350.25999992</v>
      </c>
    </row>
    <row r="680" spans="1:17" x14ac:dyDescent="0.3">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c r="Q680" s="5">
        <f t="shared" si="10"/>
        <v>118726350.25999992</v>
      </c>
    </row>
    <row r="681" spans="1:17" x14ac:dyDescent="0.3">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c r="Q681" s="5">
        <f t="shared" si="10"/>
        <v>118726350.25999992</v>
      </c>
    </row>
    <row r="682" spans="1:17" x14ac:dyDescent="0.3">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c r="Q682" s="5">
        <f t="shared" si="10"/>
        <v>118726350.25999992</v>
      </c>
    </row>
    <row r="683" spans="1:17" x14ac:dyDescent="0.3">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c r="Q683" s="5">
        <f t="shared" si="10"/>
        <v>118726350.25999992</v>
      </c>
    </row>
    <row r="684" spans="1:17" x14ac:dyDescent="0.3">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c r="Q684" s="5">
        <f t="shared" si="10"/>
        <v>118726350.25999992</v>
      </c>
    </row>
    <row r="685" spans="1:17" x14ac:dyDescent="0.3">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c r="Q685" s="5">
        <f t="shared" si="10"/>
        <v>118726350.25999992</v>
      </c>
    </row>
    <row r="686" spans="1:17" x14ac:dyDescent="0.3">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c r="Q686" s="5">
        <f t="shared" si="10"/>
        <v>118726350.25999992</v>
      </c>
    </row>
    <row r="687" spans="1:17" x14ac:dyDescent="0.3">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c r="Q687" s="5">
        <f t="shared" si="10"/>
        <v>118726350.25999992</v>
      </c>
    </row>
    <row r="688" spans="1:17" x14ac:dyDescent="0.3">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c r="Q688" s="5">
        <f t="shared" si="10"/>
        <v>118726350.25999992</v>
      </c>
    </row>
    <row r="689" spans="1:17" x14ac:dyDescent="0.3">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c r="Q689" s="5">
        <f t="shared" si="10"/>
        <v>118726350.25999992</v>
      </c>
    </row>
    <row r="690" spans="1:17" x14ac:dyDescent="0.3">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c r="Q690" s="5">
        <f t="shared" si="10"/>
        <v>118726350.25999992</v>
      </c>
    </row>
    <row r="691" spans="1:17" x14ac:dyDescent="0.3">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c r="Q691" s="5">
        <f t="shared" si="10"/>
        <v>118726350.25999992</v>
      </c>
    </row>
    <row r="692" spans="1:17" x14ac:dyDescent="0.3">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c r="Q692" s="5">
        <f t="shared" si="10"/>
        <v>118726350.25999992</v>
      </c>
    </row>
    <row r="693" spans="1:17" x14ac:dyDescent="0.3">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c r="Q693" s="5">
        <f t="shared" si="10"/>
        <v>118726350.25999992</v>
      </c>
    </row>
    <row r="694" spans="1:17" x14ac:dyDescent="0.3">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c r="Q694" s="5">
        <f t="shared" si="10"/>
        <v>118726350.25999992</v>
      </c>
    </row>
    <row r="695" spans="1:17" x14ac:dyDescent="0.3">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c r="Q695" s="5">
        <f t="shared" si="10"/>
        <v>118726350.25999992</v>
      </c>
    </row>
    <row r="696" spans="1:17" x14ac:dyDescent="0.3">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c r="Q696" s="5">
        <f t="shared" si="10"/>
        <v>118726350.25999992</v>
      </c>
    </row>
    <row r="697" spans="1:17" x14ac:dyDescent="0.3">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c r="Q697" s="5">
        <f t="shared" si="10"/>
        <v>118726350.25999992</v>
      </c>
    </row>
    <row r="698" spans="1:17" x14ac:dyDescent="0.3">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c r="Q698" s="5">
        <f t="shared" si="10"/>
        <v>118726350.25999992</v>
      </c>
    </row>
    <row r="699" spans="1:17" x14ac:dyDescent="0.3">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c r="Q699" s="5">
        <f t="shared" si="10"/>
        <v>118726350.25999992</v>
      </c>
    </row>
    <row r="700" spans="1:17" x14ac:dyDescent="0.3">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c r="Q700" s="5">
        <f t="shared" si="10"/>
        <v>118726350.25999992</v>
      </c>
    </row>
    <row r="701" spans="1:17" x14ac:dyDescent="0.3">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c r="Q701" s="5">
        <f t="shared" si="10"/>
        <v>118726350.25999992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54E4-C3DF-4B15-B39C-786E85A69E34}">
  <dimension ref="F4:U4"/>
  <sheetViews>
    <sheetView tabSelected="1" zoomScale="67" workbookViewId="0">
      <selection activeCell="X35" sqref="X35"/>
    </sheetView>
  </sheetViews>
  <sheetFormatPr defaultRowHeight="14.4" x14ac:dyDescent="0.3"/>
  <sheetData>
    <row r="4" spans="6:21" ht="28.8" x14ac:dyDescent="0.55000000000000004">
      <c r="F4" s="19" t="s">
        <v>50</v>
      </c>
      <c r="K4" s="20" t="s">
        <v>33</v>
      </c>
      <c r="O4" s="19" t="s">
        <v>73</v>
      </c>
      <c r="U4" s="19" t="s">
        <v>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Sadik Shaik</cp:lastModifiedBy>
  <dcterms:created xsi:type="dcterms:W3CDTF">2014-01-28T02:45:41Z</dcterms:created>
  <dcterms:modified xsi:type="dcterms:W3CDTF">2026-07-14T06:42:32Z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